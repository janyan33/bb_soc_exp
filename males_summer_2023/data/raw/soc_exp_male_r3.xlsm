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males_summer_2023\data\raw\"/>
    </mc:Choice>
  </mc:AlternateContent>
  <xr:revisionPtr revIDLastSave="0" documentId="13_ncr:1_{36DE2974-5ACE-49C6-839B-8796EC02920F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I223" i="1"/>
  <c r="I246" i="1"/>
  <c r="H3" i="1" l="1"/>
  <c r="I3" i="1" s="1"/>
  <c r="G4" i="1"/>
  <c r="H4" i="1" s="1"/>
  <c r="I4" i="1" s="1"/>
  <c r="G5" i="1"/>
  <c r="H5" i="1" s="1"/>
  <c r="I5" i="1" s="1"/>
  <c r="G6" i="1"/>
  <c r="I6" i="1" s="1"/>
  <c r="G7" i="1"/>
  <c r="I7" i="1" s="1"/>
  <c r="G8" i="1"/>
  <c r="H8" i="1" s="1"/>
  <c r="I8" i="1" s="1"/>
  <c r="G9" i="1"/>
  <c r="H9" i="1" s="1"/>
  <c r="I9" i="1" s="1"/>
  <c r="G10" i="1"/>
  <c r="H10" i="1" s="1"/>
  <c r="I10" i="1" s="1"/>
  <c r="G11" i="1"/>
  <c r="H11" i="1" s="1"/>
  <c r="I11" i="1" s="1"/>
  <c r="G12" i="1"/>
  <c r="I12" i="1" s="1"/>
  <c r="G13" i="1"/>
  <c r="I13" i="1" s="1"/>
  <c r="G14" i="1"/>
  <c r="I14" i="1" s="1"/>
  <c r="G15" i="1"/>
  <c r="H15" i="1" s="1"/>
  <c r="I15" i="1" s="1"/>
  <c r="G16" i="1"/>
  <c r="H16" i="1" s="1"/>
  <c r="I16" i="1" s="1"/>
  <c r="G17" i="1"/>
  <c r="H17" i="1" s="1"/>
  <c r="I17" i="1" s="1"/>
  <c r="G18" i="1"/>
  <c r="I18" i="1" s="1"/>
  <c r="G19" i="1"/>
  <c r="I19" i="1" s="1"/>
  <c r="G20" i="1"/>
  <c r="H20" i="1" s="1"/>
  <c r="I20" i="1" s="1"/>
  <c r="I21" i="1"/>
  <c r="G22" i="1"/>
  <c r="H22" i="1" s="1"/>
  <c r="I22" i="1" s="1"/>
  <c r="G23" i="1"/>
  <c r="I23" i="1" s="1"/>
  <c r="G24" i="1"/>
  <c r="H24" i="1" s="1"/>
  <c r="I24" i="1" s="1"/>
  <c r="G25" i="1"/>
  <c r="H25" i="1" s="1"/>
  <c r="I25" i="1" s="1"/>
  <c r="G26" i="1"/>
  <c r="H26" i="1" s="1"/>
  <c r="I26" i="1" s="1"/>
  <c r="G27" i="1"/>
  <c r="I27" i="1" s="1"/>
  <c r="G28" i="1"/>
  <c r="H28" i="1" s="1"/>
  <c r="I28" i="1" s="1"/>
  <c r="H29" i="1"/>
  <c r="I29" i="1" s="1"/>
  <c r="G30" i="1"/>
  <c r="H30" i="1" s="1"/>
  <c r="I30" i="1" s="1"/>
  <c r="G31" i="1"/>
  <c r="I31" i="1" s="1"/>
  <c r="G32" i="1"/>
  <c r="H32" i="1" s="1"/>
  <c r="I32" i="1" s="1"/>
  <c r="G33" i="1"/>
  <c r="H33" i="1" s="1"/>
  <c r="I33" i="1" s="1"/>
  <c r="G34" i="1"/>
  <c r="H34" i="1" s="1"/>
  <c r="I34" i="1" s="1"/>
  <c r="G35" i="1"/>
  <c r="H35" i="1" s="1"/>
  <c r="I35" i="1" s="1"/>
  <c r="H36" i="1"/>
  <c r="I36" i="1" s="1"/>
  <c r="G37" i="1"/>
  <c r="H37" i="1" s="1"/>
  <c r="I37" i="1" s="1"/>
  <c r="G38" i="1"/>
  <c r="H38" i="1" s="1"/>
  <c r="I38" i="1" s="1"/>
  <c r="H39" i="1"/>
  <c r="I39" i="1" s="1"/>
  <c r="I40" i="1"/>
  <c r="G41" i="1"/>
  <c r="H41" i="1" s="1"/>
  <c r="I41" i="1" s="1"/>
  <c r="G42" i="1"/>
  <c r="I42" i="1" s="1"/>
  <c r="I43" i="1"/>
  <c r="G44" i="1"/>
  <c r="H44" i="1" s="1"/>
  <c r="I44" i="1" s="1"/>
  <c r="G45" i="1"/>
  <c r="H45" i="1" s="1"/>
  <c r="I45" i="1" s="1"/>
  <c r="H46" i="1"/>
  <c r="I46" i="1" s="1"/>
  <c r="G47" i="1"/>
  <c r="H47" i="1" s="1"/>
  <c r="I47" i="1" s="1"/>
  <c r="G48" i="1"/>
  <c r="H48" i="1" s="1"/>
  <c r="I48" i="1" s="1"/>
  <c r="G49" i="1"/>
  <c r="I49" i="1" s="1"/>
  <c r="G50" i="1"/>
  <c r="H50" i="1" s="1"/>
  <c r="I50" i="1" s="1"/>
  <c r="G51" i="1"/>
  <c r="I51" i="1" s="1"/>
  <c r="G52" i="1"/>
  <c r="H52" i="1" s="1"/>
  <c r="I52" i="1" s="1"/>
  <c r="G53" i="1"/>
  <c r="I53" i="1" s="1"/>
  <c r="G54" i="1"/>
  <c r="I54" i="1" s="1"/>
  <c r="G55" i="1"/>
  <c r="H55" i="1" s="1"/>
  <c r="I55" i="1" s="1"/>
  <c r="G56" i="1"/>
  <c r="H56" i="1" s="1"/>
  <c r="I56" i="1" s="1"/>
  <c r="G57" i="1"/>
  <c r="H57" i="1" s="1"/>
  <c r="I57" i="1" s="1"/>
  <c r="G58" i="1"/>
  <c r="H58" i="1" s="1"/>
  <c r="I58" i="1" s="1"/>
  <c r="G59" i="1"/>
  <c r="I59" i="1" s="1"/>
  <c r="G60" i="1"/>
  <c r="H60" i="1" s="1"/>
  <c r="I60" i="1" s="1"/>
  <c r="G61" i="1"/>
  <c r="I61" i="1" s="1"/>
  <c r="G62" i="1"/>
  <c r="H62" i="1" s="1"/>
  <c r="I62" i="1" s="1"/>
  <c r="G63" i="1"/>
  <c r="H63" i="1" s="1"/>
  <c r="I63" i="1" s="1"/>
  <c r="G64" i="1"/>
  <c r="I64" i="1" s="1"/>
  <c r="G65" i="1"/>
  <c r="I65" i="1" s="1"/>
  <c r="I66" i="1"/>
  <c r="G67" i="1"/>
  <c r="I67" i="1" s="1"/>
  <c r="G68" i="1"/>
  <c r="H68" i="1" s="1"/>
  <c r="I68" i="1" s="1"/>
  <c r="G69" i="1"/>
  <c r="H69" i="1" s="1"/>
  <c r="I69" i="1" s="1"/>
  <c r="G70" i="1"/>
  <c r="I70" i="1" s="1"/>
  <c r="G71" i="1"/>
  <c r="I71" i="1" s="1"/>
  <c r="G72" i="1"/>
  <c r="I72" i="1" s="1"/>
  <c r="G73" i="1"/>
  <c r="H73" i="1" s="1"/>
  <c r="I73" i="1" s="1"/>
  <c r="G74" i="1"/>
  <c r="I74" i="1" s="1"/>
  <c r="G75" i="1"/>
  <c r="H75" i="1" s="1"/>
  <c r="I75" i="1" s="1"/>
  <c r="G76" i="1"/>
  <c r="H76" i="1" s="1"/>
  <c r="I76" i="1" s="1"/>
  <c r="H77" i="1"/>
  <c r="I77" i="1" s="1"/>
  <c r="G78" i="1"/>
  <c r="H78" i="1" s="1"/>
  <c r="I78" i="1" s="1"/>
  <c r="G79" i="1"/>
  <c r="I79" i="1" s="1"/>
  <c r="G80" i="1"/>
  <c r="H80" i="1" s="1"/>
  <c r="I80" i="1" s="1"/>
  <c r="G81" i="1"/>
  <c r="H81" i="1" s="1"/>
  <c r="I81" i="1" s="1"/>
  <c r="G82" i="1"/>
  <c r="I82" i="1" s="1"/>
  <c r="G83" i="1"/>
  <c r="H83" i="1" s="1"/>
  <c r="I83" i="1" s="1"/>
  <c r="G84" i="1"/>
  <c r="I84" i="1" s="1"/>
  <c r="I85" i="1"/>
  <c r="G86" i="1"/>
  <c r="I86" i="1" s="1"/>
  <c r="G87" i="1"/>
  <c r="I87" i="1" s="1"/>
  <c r="G88" i="1"/>
  <c r="I88" i="1" s="1"/>
  <c r="G89" i="1"/>
  <c r="I89" i="1" s="1"/>
  <c r="G90" i="1"/>
  <c r="H90" i="1" s="1"/>
  <c r="I90" i="1" s="1"/>
  <c r="G91" i="1"/>
  <c r="I91" i="1" s="1"/>
  <c r="G92" i="1"/>
  <c r="H92" i="1" s="1"/>
  <c r="I92" i="1" s="1"/>
  <c r="G93" i="1"/>
  <c r="H93" i="1" s="1"/>
  <c r="I93" i="1" s="1"/>
  <c r="G94" i="1"/>
  <c r="H94" i="1" s="1"/>
  <c r="I94" i="1" s="1"/>
  <c r="G95" i="1"/>
  <c r="I95" i="1" s="1"/>
  <c r="G96" i="1"/>
  <c r="H96" i="1" s="1"/>
  <c r="I96" i="1" s="1"/>
  <c r="G97" i="1"/>
  <c r="H97" i="1" s="1"/>
  <c r="I97" i="1" s="1"/>
  <c r="G98" i="1"/>
  <c r="I98" i="1" s="1"/>
  <c r="H99" i="1"/>
  <c r="I99" i="1" s="1"/>
  <c r="G100" i="1"/>
  <c r="H100" i="1" s="1"/>
  <c r="I100" i="1" s="1"/>
  <c r="G101" i="1"/>
  <c r="H101" i="1" s="1"/>
  <c r="I101" i="1" s="1"/>
  <c r="G102" i="1"/>
  <c r="H102" i="1" s="1"/>
  <c r="I102" i="1" s="1"/>
  <c r="G103" i="1"/>
  <c r="H103" i="1" s="1"/>
  <c r="I103" i="1" s="1"/>
  <c r="G104" i="1"/>
  <c r="H104" i="1" s="1"/>
  <c r="I104" i="1" s="1"/>
  <c r="G105" i="1"/>
  <c r="H105" i="1" s="1"/>
  <c r="I105" i="1" s="1"/>
  <c r="G106" i="1"/>
  <c r="H106" i="1" s="1"/>
  <c r="I106" i="1" s="1"/>
  <c r="G107" i="1"/>
  <c r="H107" i="1" s="1"/>
  <c r="I107" i="1" s="1"/>
  <c r="G108" i="1"/>
  <c r="H108" i="1" s="1"/>
  <c r="I108" i="1" s="1"/>
  <c r="G109" i="1"/>
  <c r="H109" i="1" s="1"/>
  <c r="I109" i="1" s="1"/>
  <c r="G110" i="1"/>
  <c r="I110" i="1" s="1"/>
  <c r="G111" i="1"/>
  <c r="I111" i="1" s="1"/>
  <c r="G112" i="1"/>
  <c r="H112" i="1" s="1"/>
  <c r="I112" i="1" s="1"/>
  <c r="G113" i="1"/>
  <c r="H113" i="1" s="1"/>
  <c r="I113" i="1" s="1"/>
  <c r="G114" i="1"/>
  <c r="H114" i="1" s="1"/>
  <c r="I114" i="1" s="1"/>
  <c r="G115" i="1"/>
  <c r="H115" i="1" s="1"/>
  <c r="I115" i="1" s="1"/>
  <c r="I116" i="1"/>
  <c r="G117" i="1"/>
  <c r="H117" i="1" s="1"/>
  <c r="I117" i="1" s="1"/>
  <c r="G118" i="1"/>
  <c r="I118" i="1" s="1"/>
  <c r="G119" i="1"/>
  <c r="I119" i="1" s="1"/>
  <c r="G120" i="1"/>
  <c r="I120" i="1" s="1"/>
  <c r="G121" i="1"/>
  <c r="H121" i="1" s="1"/>
  <c r="I121" i="1" s="1"/>
  <c r="G122" i="1"/>
  <c r="I122" i="1" s="1"/>
  <c r="G123" i="1"/>
  <c r="I123" i="1" s="1"/>
  <c r="G124" i="1"/>
  <c r="H124" i="1" s="1"/>
  <c r="I124" i="1" s="1"/>
  <c r="G125" i="1"/>
  <c r="H125" i="1" s="1"/>
  <c r="I125" i="1" s="1"/>
  <c r="G126" i="1"/>
  <c r="H126" i="1" s="1"/>
  <c r="I126" i="1" s="1"/>
  <c r="G127" i="1"/>
  <c r="H127" i="1" s="1"/>
  <c r="I127" i="1" s="1"/>
  <c r="G128" i="1"/>
  <c r="H128" i="1" s="1"/>
  <c r="I128" i="1" s="1"/>
  <c r="G129" i="1"/>
  <c r="H129" i="1" s="1"/>
  <c r="I129" i="1" s="1"/>
  <c r="G130" i="1"/>
  <c r="H130" i="1" s="1"/>
  <c r="I130" i="1" s="1"/>
  <c r="G131" i="1"/>
  <c r="H131" i="1" s="1"/>
  <c r="I131" i="1" s="1"/>
  <c r="G132" i="1"/>
  <c r="I132" i="1" s="1"/>
  <c r="G133" i="1"/>
  <c r="H133" i="1" s="1"/>
  <c r="I133" i="1" s="1"/>
  <c r="G134" i="1"/>
  <c r="H134" i="1" s="1"/>
  <c r="I134" i="1" s="1"/>
  <c r="G135" i="1"/>
  <c r="H135" i="1" s="1"/>
  <c r="I135" i="1" s="1"/>
  <c r="G136" i="1"/>
  <c r="H136" i="1" s="1"/>
  <c r="I136" i="1" s="1"/>
  <c r="G137" i="1"/>
  <c r="H137" i="1" s="1"/>
  <c r="I137" i="1" s="1"/>
  <c r="G138" i="1"/>
  <c r="H138" i="1" s="1"/>
  <c r="I138" i="1" s="1"/>
  <c r="G139" i="1"/>
  <c r="I139" i="1" s="1"/>
  <c r="G140" i="1"/>
  <c r="I140" i="1" s="1"/>
  <c r="G141" i="1"/>
  <c r="I141" i="1" s="1"/>
  <c r="H142" i="1"/>
  <c r="I142" i="1" s="1"/>
  <c r="G143" i="1"/>
  <c r="I143" i="1" s="1"/>
  <c r="G144" i="1"/>
  <c r="H144" i="1" s="1"/>
  <c r="I144" i="1" s="1"/>
  <c r="G145" i="1"/>
  <c r="H145" i="1" s="1"/>
  <c r="I145" i="1" s="1"/>
  <c r="G146" i="1"/>
  <c r="H146" i="1" s="1"/>
  <c r="I146" i="1" s="1"/>
  <c r="G147" i="1"/>
  <c r="I147" i="1" s="1"/>
  <c r="G148" i="1"/>
  <c r="I148" i="1" s="1"/>
  <c r="G149" i="1"/>
  <c r="H149" i="1" s="1"/>
  <c r="I149" i="1" s="1"/>
  <c r="G150" i="1"/>
  <c r="I150" i="1" s="1"/>
  <c r="G151" i="1"/>
  <c r="H151" i="1" s="1"/>
  <c r="I151" i="1" s="1"/>
  <c r="G152" i="1"/>
  <c r="H152" i="1" s="1"/>
  <c r="I152" i="1" s="1"/>
  <c r="G153" i="1"/>
  <c r="H153" i="1" s="1"/>
  <c r="I153" i="1" s="1"/>
  <c r="G154" i="1"/>
  <c r="H154" i="1" s="1"/>
  <c r="I154" i="1" s="1"/>
  <c r="G155" i="1"/>
  <c r="H155" i="1" s="1"/>
  <c r="I155" i="1" s="1"/>
  <c r="G156" i="1"/>
  <c r="H156" i="1" s="1"/>
  <c r="I156" i="1" s="1"/>
  <c r="G157" i="1"/>
  <c r="H157" i="1" s="1"/>
  <c r="I157" i="1" s="1"/>
  <c r="H158" i="1"/>
  <c r="I158" i="1" s="1"/>
  <c r="G159" i="1"/>
  <c r="H159" i="1" s="1"/>
  <c r="I159" i="1" s="1"/>
  <c r="G160" i="1"/>
  <c r="I160" i="1" s="1"/>
  <c r="G161" i="1"/>
  <c r="I161" i="1" s="1"/>
  <c r="G162" i="1"/>
  <c r="I162" i="1" s="1"/>
  <c r="G163" i="1"/>
  <c r="H163" i="1" s="1"/>
  <c r="I163" i="1" s="1"/>
  <c r="G164" i="1"/>
  <c r="H164" i="1" s="1"/>
  <c r="I164" i="1" s="1"/>
  <c r="G165" i="1"/>
  <c r="I165" i="1" s="1"/>
  <c r="G166" i="1"/>
  <c r="H166" i="1" s="1"/>
  <c r="I166" i="1" s="1"/>
  <c r="G167" i="1"/>
  <c r="I167" i="1" s="1"/>
  <c r="G168" i="1"/>
  <c r="I168" i="1" s="1"/>
  <c r="G169" i="1"/>
  <c r="H169" i="1" s="1"/>
  <c r="I169" i="1" s="1"/>
  <c r="G170" i="1"/>
  <c r="H170" i="1" s="1"/>
  <c r="I170" i="1" s="1"/>
  <c r="H171" i="1"/>
  <c r="I171" i="1" s="1"/>
  <c r="H172" i="1"/>
  <c r="I172" i="1" s="1"/>
  <c r="G173" i="1"/>
  <c r="I173" i="1" s="1"/>
  <c r="H174" i="1"/>
  <c r="I174" i="1" s="1"/>
  <c r="G175" i="1"/>
  <c r="H175" i="1" s="1"/>
  <c r="I175" i="1" s="1"/>
  <c r="G176" i="1"/>
  <c r="I176" i="1" s="1"/>
  <c r="I177" i="1"/>
  <c r="H178" i="1"/>
  <c r="I178" i="1" s="1"/>
  <c r="G179" i="1"/>
  <c r="I179" i="1" s="1"/>
  <c r="H180" i="1"/>
  <c r="I180" i="1" s="1"/>
  <c r="G181" i="1"/>
  <c r="I181" i="1" s="1"/>
  <c r="G182" i="1"/>
  <c r="H182" i="1" s="1"/>
  <c r="I182" i="1" s="1"/>
  <c r="G183" i="1"/>
  <c r="I183" i="1" s="1"/>
  <c r="G184" i="1"/>
  <c r="I184" i="1" s="1"/>
  <c r="G185" i="1"/>
  <c r="H185" i="1" s="1"/>
  <c r="I185" i="1" s="1"/>
  <c r="G186" i="1"/>
  <c r="H186" i="1" s="1"/>
  <c r="I186" i="1" s="1"/>
  <c r="G187" i="1"/>
  <c r="H187" i="1" s="1"/>
  <c r="I187" i="1" s="1"/>
  <c r="G188" i="1"/>
  <c r="I188" i="1" s="1"/>
  <c r="H189" i="1"/>
  <c r="I189" i="1" s="1"/>
  <c r="G190" i="1"/>
  <c r="I190" i="1" s="1"/>
  <c r="H191" i="1"/>
  <c r="I191" i="1" s="1"/>
  <c r="G192" i="1"/>
  <c r="I192" i="1" s="1"/>
  <c r="G193" i="1"/>
  <c r="H193" i="1" s="1"/>
  <c r="I193" i="1" s="1"/>
  <c r="G194" i="1"/>
  <c r="I194" i="1" s="1"/>
  <c r="G195" i="1"/>
  <c r="I195" i="1" s="1"/>
  <c r="G196" i="1"/>
  <c r="I196" i="1" s="1"/>
  <c r="G197" i="1"/>
  <c r="I197" i="1" s="1"/>
  <c r="G198" i="1"/>
  <c r="I198" i="1" s="1"/>
  <c r="G199" i="1"/>
  <c r="I199" i="1" s="1"/>
  <c r="G200" i="1"/>
  <c r="I200" i="1" s="1"/>
  <c r="G201" i="1"/>
  <c r="H201" i="1" s="1"/>
  <c r="I201" i="1" s="1"/>
  <c r="G202" i="1"/>
  <c r="H202" i="1" s="1"/>
  <c r="I202" i="1" s="1"/>
  <c r="G203" i="1"/>
  <c r="I203" i="1" s="1"/>
  <c r="G204" i="1"/>
  <c r="I204" i="1" s="1"/>
  <c r="G205" i="1"/>
  <c r="I205" i="1" s="1"/>
  <c r="G206" i="1"/>
  <c r="H206" i="1" s="1"/>
  <c r="I206" i="1" s="1"/>
  <c r="G207" i="1"/>
  <c r="H207" i="1" s="1"/>
  <c r="I207" i="1" s="1"/>
  <c r="G208" i="1"/>
  <c r="H208" i="1" s="1"/>
  <c r="I208" i="1" s="1"/>
  <c r="G209" i="1"/>
  <c r="H209" i="1" s="1"/>
  <c r="I209" i="1" s="1"/>
  <c r="G210" i="1"/>
  <c r="H210" i="1" s="1"/>
  <c r="I210" i="1" s="1"/>
  <c r="G211" i="1"/>
  <c r="H211" i="1" s="1"/>
  <c r="I211" i="1" s="1"/>
  <c r="G212" i="1"/>
  <c r="H212" i="1" s="1"/>
  <c r="I212" i="1" s="1"/>
  <c r="G213" i="1"/>
  <c r="H213" i="1" s="1"/>
  <c r="I213" i="1" s="1"/>
  <c r="G214" i="1"/>
  <c r="H214" i="1" s="1"/>
  <c r="I214" i="1" s="1"/>
  <c r="G215" i="1"/>
  <c r="H215" i="1" s="1"/>
  <c r="I215" i="1" s="1"/>
  <c r="G216" i="1"/>
  <c r="H216" i="1" s="1"/>
  <c r="I216" i="1" s="1"/>
  <c r="G217" i="1"/>
  <c r="H217" i="1" s="1"/>
  <c r="I217" i="1" s="1"/>
  <c r="G218" i="1"/>
  <c r="H218" i="1" s="1"/>
  <c r="I218" i="1" s="1"/>
  <c r="G219" i="1"/>
  <c r="H219" i="1" s="1"/>
  <c r="I219" i="1" s="1"/>
  <c r="I220" i="1"/>
  <c r="G221" i="1"/>
  <c r="H221" i="1" s="1"/>
  <c r="I221" i="1" s="1"/>
  <c r="G222" i="1"/>
  <c r="H222" i="1" s="1"/>
  <c r="I222" i="1" s="1"/>
  <c r="G223" i="1"/>
  <c r="G224" i="1"/>
  <c r="H224" i="1" s="1"/>
  <c r="I224" i="1" s="1"/>
  <c r="G225" i="1"/>
  <c r="I225" i="1" s="1"/>
  <c r="G226" i="1"/>
  <c r="H226" i="1" s="1"/>
  <c r="I226" i="1" s="1"/>
  <c r="G227" i="1"/>
  <c r="H227" i="1" s="1"/>
  <c r="I227" i="1" s="1"/>
  <c r="G228" i="1"/>
  <c r="H228" i="1" s="1"/>
  <c r="I228" i="1" s="1"/>
  <c r="G229" i="1"/>
  <c r="H229" i="1" s="1"/>
  <c r="I229" i="1" s="1"/>
  <c r="G230" i="1"/>
  <c r="H230" i="1" s="1"/>
  <c r="I230" i="1" s="1"/>
  <c r="G231" i="1"/>
  <c r="H231" i="1" s="1"/>
  <c r="I231" i="1" s="1"/>
  <c r="G232" i="1"/>
  <c r="H232" i="1" s="1"/>
  <c r="I232" i="1" s="1"/>
  <c r="G233" i="1"/>
  <c r="H233" i="1" s="1"/>
  <c r="I233" i="1" s="1"/>
  <c r="G234" i="1"/>
  <c r="H234" i="1" s="1"/>
  <c r="I234" i="1" s="1"/>
  <c r="G235" i="1"/>
  <c r="H235" i="1" s="1"/>
  <c r="I235" i="1" s="1"/>
  <c r="G236" i="1"/>
  <c r="H236" i="1" s="1"/>
  <c r="I236" i="1" s="1"/>
  <c r="G237" i="1"/>
  <c r="H237" i="1" s="1"/>
  <c r="I237" i="1" s="1"/>
  <c r="G238" i="1"/>
  <c r="H238" i="1" s="1"/>
  <c r="I238" i="1" s="1"/>
  <c r="G239" i="1"/>
  <c r="H239" i="1" s="1"/>
  <c r="I239" i="1" s="1"/>
  <c r="G240" i="1"/>
  <c r="H240" i="1" s="1"/>
  <c r="I240" i="1" s="1"/>
  <c r="G241" i="1"/>
  <c r="I241" i="1" s="1"/>
  <c r="G242" i="1"/>
  <c r="H242" i="1" s="1"/>
  <c r="I242" i="1" s="1"/>
  <c r="G243" i="1"/>
  <c r="H243" i="1" s="1"/>
  <c r="I243" i="1" s="1"/>
  <c r="G244" i="1"/>
  <c r="H244" i="1" s="1"/>
  <c r="I244" i="1" s="1"/>
  <c r="G245" i="1"/>
  <c r="H245" i="1" s="1"/>
  <c r="I245" i="1" s="1"/>
  <c r="G246" i="1"/>
  <c r="G247" i="1"/>
  <c r="H247" i="1" s="1"/>
  <c r="I247" i="1" s="1"/>
  <c r="G248" i="1"/>
  <c r="H248" i="1" s="1"/>
  <c r="I248" i="1" s="1"/>
  <c r="G249" i="1"/>
  <c r="H249" i="1" s="1"/>
  <c r="I249" i="1" s="1"/>
  <c r="G250" i="1"/>
  <c r="H250" i="1" s="1"/>
  <c r="I250" i="1" s="1"/>
  <c r="G251" i="1"/>
  <c r="I251" i="1" s="1"/>
  <c r="I252" i="1"/>
  <c r="G253" i="1"/>
  <c r="I253" i="1" s="1"/>
  <c r="G254" i="1"/>
  <c r="I254" i="1" s="1"/>
  <c r="G255" i="1"/>
  <c r="H255" i="1" s="1"/>
  <c r="I255" i="1" s="1"/>
  <c r="G256" i="1"/>
  <c r="I256" i="1" s="1"/>
  <c r="G257" i="1"/>
  <c r="H257" i="1" s="1"/>
  <c r="I257" i="1" s="1"/>
  <c r="G258" i="1"/>
  <c r="H258" i="1" s="1"/>
  <c r="I258" i="1" s="1"/>
  <c r="G259" i="1"/>
  <c r="H259" i="1" s="1"/>
  <c r="I259" i="1" s="1"/>
  <c r="G260" i="1"/>
  <c r="I260" i="1" s="1"/>
  <c r="G261" i="1"/>
  <c r="I261" i="1" s="1"/>
  <c r="H262" i="1"/>
  <c r="I262" i="1" s="1"/>
  <c r="G263" i="1"/>
  <c r="H263" i="1" s="1"/>
  <c r="I263" i="1" s="1"/>
  <c r="G264" i="1"/>
  <c r="H264" i="1" s="1"/>
  <c r="I264" i="1" s="1"/>
  <c r="G265" i="1"/>
  <c r="I265" i="1" s="1"/>
  <c r="G266" i="1"/>
  <c r="H266" i="1" s="1"/>
  <c r="I266" i="1" s="1"/>
  <c r="G267" i="1"/>
  <c r="H267" i="1" s="1"/>
  <c r="I267" i="1" s="1"/>
  <c r="G268" i="1"/>
  <c r="H268" i="1" s="1"/>
  <c r="I268" i="1" s="1"/>
  <c r="G269" i="1"/>
  <c r="I269" i="1" s="1"/>
  <c r="G270" i="1"/>
  <c r="H270" i="1" s="1"/>
  <c r="I270" i="1" s="1"/>
  <c r="G271" i="1"/>
  <c r="H271" i="1" s="1"/>
  <c r="I271" i="1" s="1"/>
  <c r="G272" i="1"/>
  <c r="H272" i="1" s="1"/>
  <c r="I272" i="1" s="1"/>
  <c r="H273" i="1"/>
  <c r="I273" i="1" s="1"/>
  <c r="G274" i="1"/>
  <c r="H274" i="1" s="1"/>
  <c r="I274" i="1" s="1"/>
  <c r="H275" i="1"/>
  <c r="I275" i="1" s="1"/>
  <c r="I276" i="1"/>
  <c r="H277" i="1"/>
  <c r="I277" i="1" s="1"/>
  <c r="G278" i="1"/>
  <c r="I278" i="1" s="1"/>
  <c r="G279" i="1"/>
  <c r="H279" i="1" s="1"/>
  <c r="I279" i="1" s="1"/>
  <c r="G280" i="1"/>
  <c r="H280" i="1" s="1"/>
  <c r="I280" i="1" s="1"/>
  <c r="G281" i="1"/>
  <c r="H281" i="1" s="1"/>
  <c r="I281" i="1" s="1"/>
  <c r="G282" i="1"/>
  <c r="H282" i="1" s="1"/>
  <c r="I282" i="1" s="1"/>
  <c r="G283" i="1"/>
  <c r="H283" i="1" s="1"/>
  <c r="I283" i="1" s="1"/>
  <c r="G284" i="1"/>
  <c r="H284" i="1" s="1"/>
  <c r="I284" i="1" s="1"/>
  <c r="G285" i="1"/>
  <c r="H285" i="1" s="1"/>
  <c r="I285" i="1" s="1"/>
  <c r="G286" i="1"/>
  <c r="H286" i="1" s="1"/>
  <c r="I286" i="1" s="1"/>
  <c r="G287" i="1"/>
  <c r="H287" i="1" s="1"/>
  <c r="I287" i="1" s="1"/>
  <c r="G288" i="1"/>
  <c r="I288" i="1" s="1"/>
  <c r="G289" i="1"/>
  <c r="H289" i="1" s="1"/>
  <c r="I289" i="1" s="1"/>
  <c r="H290" i="1"/>
  <c r="I290" i="1" s="1"/>
  <c r="G291" i="1"/>
  <c r="I291" i="1" s="1"/>
  <c r="G292" i="1"/>
  <c r="H292" i="1" s="1"/>
  <c r="I292" i="1" s="1"/>
  <c r="G293" i="1"/>
  <c r="I293" i="1" s="1"/>
  <c r="G294" i="1"/>
  <c r="H294" i="1" s="1"/>
  <c r="I294" i="1" s="1"/>
  <c r="G295" i="1"/>
  <c r="H295" i="1" s="1"/>
  <c r="I295" i="1" s="1"/>
  <c r="H296" i="1"/>
  <c r="I296" i="1" s="1"/>
  <c r="G297" i="1"/>
  <c r="H297" i="1" s="1"/>
  <c r="I297" i="1" s="1"/>
  <c r="G298" i="1"/>
  <c r="I298" i="1" s="1"/>
  <c r="G299" i="1"/>
  <c r="I299" i="1" s="1"/>
  <c r="G300" i="1"/>
  <c r="H300" i="1" s="1"/>
  <c r="I300" i="1" s="1"/>
  <c r="G301" i="1"/>
  <c r="I301" i="1" s="1"/>
  <c r="G302" i="1"/>
  <c r="H302" i="1" s="1"/>
  <c r="I302" i="1" s="1"/>
  <c r="H303" i="1"/>
  <c r="I303" i="1" s="1"/>
  <c r="H304" i="1"/>
  <c r="I304" i="1" s="1"/>
  <c r="I305" i="1"/>
  <c r="H306" i="1"/>
  <c r="I306" i="1" s="1"/>
  <c r="G307" i="1"/>
  <c r="H307" i="1" s="1"/>
  <c r="I307" i="1" s="1"/>
  <c r="H308" i="1"/>
  <c r="I308" i="1" s="1"/>
  <c r="G309" i="1"/>
  <c r="H309" i="1" s="1"/>
  <c r="I309" i="1" s="1"/>
  <c r="G310" i="1"/>
  <c r="I310" i="1" s="1"/>
  <c r="G311" i="1"/>
  <c r="H311" i="1" s="1"/>
  <c r="I311" i="1" s="1"/>
  <c r="H312" i="1"/>
  <c r="I312" i="1" s="1"/>
  <c r="H313" i="1"/>
  <c r="I313" i="1" s="1"/>
  <c r="G314" i="1"/>
  <c r="H314" i="1" s="1"/>
  <c r="I314" i="1" s="1"/>
  <c r="I315" i="1"/>
  <c r="G316" i="1"/>
  <c r="I316" i="1" s="1"/>
  <c r="G317" i="1"/>
  <c r="H317" i="1" s="1"/>
  <c r="I317" i="1" s="1"/>
  <c r="G318" i="1"/>
  <c r="H318" i="1" s="1"/>
  <c r="I318" i="1" s="1"/>
  <c r="G319" i="1"/>
  <c r="H319" i="1" s="1"/>
  <c r="I319" i="1" s="1"/>
  <c r="G320" i="1"/>
  <c r="I320" i="1" s="1"/>
  <c r="G321" i="1"/>
  <c r="I321" i="1" s="1"/>
  <c r="I322" i="1"/>
  <c r="I323" i="1"/>
  <c r="I324" i="1"/>
  <c r="H325" i="1"/>
  <c r="I325" i="1" s="1"/>
  <c r="G326" i="1"/>
  <c r="I326" i="1" s="1"/>
  <c r="H327" i="1"/>
  <c r="I327" i="1" s="1"/>
  <c r="H328" i="1"/>
  <c r="I328" i="1" s="1"/>
  <c r="G329" i="1"/>
  <c r="H329" i="1" s="1"/>
  <c r="I329" i="1" s="1"/>
  <c r="H330" i="1"/>
  <c r="I330" i="1" s="1"/>
  <c r="H331" i="1"/>
  <c r="I331" i="1" s="1"/>
  <c r="H332" i="1"/>
  <c r="I332" i="1" s="1"/>
  <c r="G333" i="1"/>
  <c r="I333" i="1" s="1"/>
  <c r="G334" i="1"/>
  <c r="I334" i="1" s="1"/>
  <c r="I335" i="1"/>
  <c r="H336" i="1"/>
  <c r="I336" i="1" s="1"/>
  <c r="I337" i="1"/>
  <c r="H338" i="1"/>
  <c r="I338" i="1" s="1"/>
  <c r="G339" i="1"/>
  <c r="I339" i="1" s="1"/>
  <c r="H340" i="1"/>
  <c r="I340" i="1" s="1"/>
  <c r="G341" i="1"/>
  <c r="I341" i="1" s="1"/>
  <c r="I342" i="1"/>
  <c r="G343" i="1"/>
  <c r="I343" i="1" s="1"/>
  <c r="H344" i="1"/>
  <c r="I344" i="1" s="1"/>
  <c r="H345" i="1"/>
  <c r="I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H398" i="1" s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H527" i="1" s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2" i="1"/>
  <c r="H2" i="1" s="1"/>
</calcChain>
</file>

<file path=xl/sharedStrings.xml><?xml version="1.0" encoding="utf-8"?>
<sst xmlns="http://schemas.openxmlformats.org/spreadsheetml/2006/main" count="1047" uniqueCount="42">
  <si>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</si>
  <si>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</si>
  <si>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</si>
  <si>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</si>
  <si>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</si>
  <si>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</si>
  <si>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</si>
  <si>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</si>
  <si>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</si>
  <si>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</si>
  <si>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temp = 25.1, humidity = 57%</t>
  </si>
  <si>
    <t>trial start</t>
  </si>
  <si>
    <t>,6</t>
  </si>
  <si>
    <t>,4</t>
  </si>
  <si>
    <t>,5</t>
  </si>
  <si>
    <t>,8</t>
  </si>
  <si>
    <t>,0</t>
  </si>
  <si>
    <t>8,</t>
  </si>
  <si>
    <t>,7</t>
  </si>
  <si>
    <t>2,</t>
  </si>
  <si>
    <t>n</t>
  </si>
  <si>
    <t>,1</t>
  </si>
  <si>
    <t>,3</t>
  </si>
  <si>
    <t>4,</t>
  </si>
  <si>
    <t>check video</t>
  </si>
  <si>
    <t>,9</t>
  </si>
  <si>
    <t>1,</t>
  </si>
  <si>
    <t>9,</t>
  </si>
  <si>
    <t>6,</t>
  </si>
  <si>
    <t>y</t>
  </si>
  <si>
    <t>NA</t>
  </si>
  <si>
    <t>check female ID in video</t>
  </si>
  <si>
    <t>3,</t>
  </si>
  <si>
    <t>check footage for length of possible insemination</t>
  </si>
  <si>
    <t>7,</t>
  </si>
  <si>
    <t>0,</t>
  </si>
  <si>
    <t xml:space="preserve">  </t>
  </si>
  <si>
    <t>End of day - 25.8 degC and 55% RH</t>
  </si>
  <si>
    <t>start: 25.3 degC, 58% RH</t>
  </si>
  <si>
    <t>insemination was about 1 min</t>
  </si>
  <si>
    <t>na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</si>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</sst>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3" borderId="4" xfId="0" applyFill="1" applyBorder="1" applyAlignment="1">
      <alignment horizontal="center"/>
    </xf>
    <xf numFmtId="19" fontId="0" fillId="3" borderId="2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J1048181"/>
  <sheetViews>
    <sheetView tabSelected="1" zoomScaleNormal="100" workbookViewId="0">
      <pane ySplit="1" topLeftCell="A305" activePane="bottomLeft" state="frozen"/>
      <selection pane="bottomLeft" activeCell="L323" sqref="L323"/>
    </sheetView>
  </sheetViews>
  <sheetFormatPr defaultRowHeight="15" x14ac:dyDescent="0.25"/>
  <cols>
    <col min="1" max="1" width="11.28515625" bestFit="1" customWidth="1"/>
    <col min="2" max="2" width="13.42578125" style="9" customWidth="1"/>
    <col min="3" max="3" width="13" style="7" customWidth="1"/>
    <col min="4" max="4" width="9" style="5" customWidth="1"/>
    <col min="5" max="5" width="11.5703125" style="5" bestFit="1" customWidth="1"/>
    <col min="6" max="6" width="22.5703125" style="6" customWidth="1"/>
    <col min="7" max="7" width="20.7109375" style="6" customWidth="1"/>
    <col min="8" max="8" width="22.7109375" style="13" customWidth="1"/>
    <col min="9" max="9" width="22.7109375" style="6" customWidth="1"/>
    <col min="10" max="10" width="51.28515625" customWidth="1"/>
  </cols>
  <sheetData>
    <row r="1" spans="1:10" x14ac:dyDescent="0.2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2" t="s">
        <v>7</v>
      </c>
      <c r="I1" s="3" t="s">
        <v>0</v>
      </c>
      <c r="J1" s="14" t="s">
        <v>9</v>
      </c>
    </row>
    <row r="2" spans="1:10" x14ac:dyDescent="0.25">
      <c r="A2">
        <v>1</v>
      </c>
      <c r="B2" s="4">
        <v>0.33437500000000003</v>
      </c>
      <c r="C2" s="4"/>
      <c r="G2" s="6" t="str">
        <f>IF(F2 = "n", "NA", "")</f>
        <v/>
      </c>
      <c r="H2" s="13" t="str">
        <f>IF(G2 = "y", "NA", "")</f>
        <v/>
      </c>
      <c r="I2" s="6" t="s">
        <v>11</v>
      </c>
      <c r="J2" t="s">
        <v>10</v>
      </c>
    </row>
    <row r="3" spans="1:10" x14ac:dyDescent="0.25">
      <c r="A3">
        <v>1</v>
      </c>
      <c r="B3" s="4">
        <v>0.33462962962962961</v>
      </c>
      <c r="C3" s="4"/>
      <c r="D3" s="5" t="s">
        <v>12</v>
      </c>
      <c r="E3" s="5" t="s">
        <v>13</v>
      </c>
      <c r="G3" s="6" t="str">
        <f t="shared" ref="G3:G65" si="0">IF(F3 = "n", "NA", "")</f>
        <v/>
      </c>
      <c r="H3" s="13" t="str">
        <f t="shared" ref="H3:H63" si="1">IF(G3 = "y", "NA", "")</f>
        <v/>
      </c>
      <c r="I3" s="6" t="str">
        <f t="shared" ref="I3:I66" si="2">IF(H3="n", "insemination", "mount")</f>
        <v>mount</v>
      </c>
    </row>
    <row r="4" spans="1:10" x14ac:dyDescent="0.25">
      <c r="A4">
        <v>1</v>
      </c>
      <c r="B4" s="4">
        <v>0.33481481481481484</v>
      </c>
      <c r="D4" s="5" t="s">
        <v>14</v>
      </c>
      <c r="E4" s="5" t="s">
        <v>12</v>
      </c>
      <c r="G4" s="6" t="str">
        <f t="shared" si="0"/>
        <v/>
      </c>
      <c r="H4" s="13" t="str">
        <f t="shared" si="1"/>
        <v/>
      </c>
      <c r="I4" s="6" t="str">
        <f t="shared" si="2"/>
        <v>mount</v>
      </c>
    </row>
    <row r="5" spans="1:10" x14ac:dyDescent="0.25">
      <c r="A5">
        <v>1</v>
      </c>
      <c r="B5" s="4">
        <v>0.33490740740740743</v>
      </c>
      <c r="D5" s="5" t="s">
        <v>14</v>
      </c>
      <c r="E5" s="5" t="s">
        <v>16</v>
      </c>
      <c r="G5" s="6" t="str">
        <f t="shared" si="0"/>
        <v/>
      </c>
      <c r="H5" s="13" t="str">
        <f t="shared" si="1"/>
        <v/>
      </c>
      <c r="I5" s="6" t="str">
        <f t="shared" si="2"/>
        <v>mount</v>
      </c>
    </row>
    <row r="6" spans="1:10" x14ac:dyDescent="0.25">
      <c r="A6">
        <v>1</v>
      </c>
      <c r="B6" s="4">
        <v>0.3350231481481481</v>
      </c>
      <c r="C6" s="4">
        <v>0.33568287037037042</v>
      </c>
      <c r="D6" s="5" t="s">
        <v>14</v>
      </c>
      <c r="E6" s="5" t="s">
        <v>17</v>
      </c>
      <c r="F6" s="6" t="s">
        <v>20</v>
      </c>
      <c r="G6" s="6" t="str">
        <f t="shared" si="0"/>
        <v>NA</v>
      </c>
      <c r="H6" s="13" t="s">
        <v>20</v>
      </c>
      <c r="I6" s="6" t="str">
        <f t="shared" si="2"/>
        <v>insemination</v>
      </c>
    </row>
    <row r="7" spans="1:10" x14ac:dyDescent="0.25">
      <c r="A7">
        <v>1</v>
      </c>
      <c r="B7" s="4">
        <v>0.33527777777777779</v>
      </c>
      <c r="C7" s="4">
        <v>0.33568287037037042</v>
      </c>
      <c r="D7" s="5" t="s">
        <v>18</v>
      </c>
      <c r="E7" s="5" t="s">
        <v>19</v>
      </c>
      <c r="F7" s="6" t="s">
        <v>20</v>
      </c>
      <c r="G7" s="6" t="str">
        <f t="shared" si="0"/>
        <v>NA</v>
      </c>
      <c r="H7" s="13" t="s">
        <v>20</v>
      </c>
      <c r="I7" s="6" t="str">
        <f t="shared" si="2"/>
        <v>insemination</v>
      </c>
    </row>
    <row r="8" spans="1:10" x14ac:dyDescent="0.25">
      <c r="A8">
        <v>1</v>
      </c>
      <c r="B8" s="4">
        <v>0.33545138888888887</v>
      </c>
      <c r="C8" s="10"/>
      <c r="D8" s="5" t="s">
        <v>21</v>
      </c>
      <c r="E8" s="5" t="s">
        <v>12</v>
      </c>
      <c r="G8" s="6" t="str">
        <f t="shared" si="0"/>
        <v/>
      </c>
      <c r="H8" s="13" t="str">
        <f t="shared" si="1"/>
        <v/>
      </c>
      <c r="I8" s="6" t="str">
        <f t="shared" si="2"/>
        <v>mount</v>
      </c>
    </row>
    <row r="9" spans="1:10" x14ac:dyDescent="0.25">
      <c r="A9">
        <v>1</v>
      </c>
      <c r="B9" s="4">
        <v>0.33545138888888887</v>
      </c>
      <c r="D9" s="5" t="s">
        <v>12</v>
      </c>
      <c r="E9" s="5" t="s">
        <v>21</v>
      </c>
      <c r="G9" s="6" t="str">
        <f t="shared" si="0"/>
        <v/>
      </c>
      <c r="H9" s="13" t="str">
        <f t="shared" si="1"/>
        <v/>
      </c>
      <c r="I9" s="6" t="str">
        <f t="shared" si="2"/>
        <v>mount</v>
      </c>
    </row>
    <row r="10" spans="1:10" x14ac:dyDescent="0.25">
      <c r="A10">
        <v>1</v>
      </c>
      <c r="B10" s="4">
        <v>0.33549768518518519</v>
      </c>
      <c r="C10" s="4"/>
      <c r="D10" s="5" t="s">
        <v>15</v>
      </c>
      <c r="E10" s="5" t="s">
        <v>22</v>
      </c>
      <c r="G10" s="6" t="str">
        <f t="shared" si="0"/>
        <v/>
      </c>
      <c r="H10" s="13" t="str">
        <f t="shared" si="1"/>
        <v/>
      </c>
      <c r="I10" s="6" t="str">
        <f t="shared" si="2"/>
        <v>mount</v>
      </c>
    </row>
    <row r="11" spans="1:10" x14ac:dyDescent="0.25">
      <c r="A11">
        <v>1</v>
      </c>
      <c r="B11" s="4">
        <v>0.33574074074074073</v>
      </c>
      <c r="D11" s="5" t="s">
        <v>16</v>
      </c>
      <c r="E11" s="5" t="s">
        <v>12</v>
      </c>
      <c r="G11" s="6" t="str">
        <f t="shared" si="0"/>
        <v/>
      </c>
      <c r="H11" s="13" t="str">
        <f t="shared" si="1"/>
        <v/>
      </c>
      <c r="I11" s="6" t="str">
        <f t="shared" si="2"/>
        <v>mount</v>
      </c>
    </row>
    <row r="12" spans="1:10" x14ac:dyDescent="0.25">
      <c r="A12">
        <v>1</v>
      </c>
      <c r="B12" s="4">
        <v>0.33575231481481477</v>
      </c>
      <c r="C12" s="4"/>
      <c r="D12" s="5" t="s">
        <v>13</v>
      </c>
      <c r="E12" s="5" t="s">
        <v>27</v>
      </c>
      <c r="F12" s="6" t="s">
        <v>20</v>
      </c>
      <c r="G12" s="6" t="str">
        <f t="shared" si="0"/>
        <v>NA</v>
      </c>
      <c r="H12" s="13" t="s">
        <v>20</v>
      </c>
      <c r="I12" s="6" t="str">
        <f t="shared" si="2"/>
        <v>insemination</v>
      </c>
      <c r="J12" s="16" t="s">
        <v>24</v>
      </c>
    </row>
    <row r="13" spans="1:10" x14ac:dyDescent="0.25">
      <c r="A13">
        <v>1</v>
      </c>
      <c r="B13" s="4">
        <v>0.3364699074074074</v>
      </c>
      <c r="C13" s="4">
        <v>0.33791666666666664</v>
      </c>
      <c r="D13" s="5" t="s">
        <v>18</v>
      </c>
      <c r="E13" s="5" t="s">
        <v>23</v>
      </c>
      <c r="F13" s="6" t="s">
        <v>20</v>
      </c>
      <c r="G13" s="6" t="str">
        <f t="shared" si="0"/>
        <v>NA</v>
      </c>
      <c r="H13" s="13" t="s">
        <v>20</v>
      </c>
      <c r="I13" s="6" t="str">
        <f t="shared" si="2"/>
        <v>insemination</v>
      </c>
      <c r="J13" t="s">
        <v>24</v>
      </c>
    </row>
    <row r="14" spans="1:10" x14ac:dyDescent="0.25">
      <c r="A14">
        <v>1</v>
      </c>
      <c r="B14" s="4">
        <v>0.33652777777777776</v>
      </c>
      <c r="C14" s="4">
        <v>0.3376851851851852</v>
      </c>
      <c r="D14" s="5" t="s">
        <v>15</v>
      </c>
      <c r="E14" s="5" t="s">
        <v>19</v>
      </c>
      <c r="F14" s="6" t="s">
        <v>20</v>
      </c>
      <c r="G14" s="6" t="str">
        <f t="shared" si="0"/>
        <v>NA</v>
      </c>
      <c r="H14" s="13" t="s">
        <v>20</v>
      </c>
      <c r="I14" s="6" t="str">
        <f t="shared" si="2"/>
        <v>insemination</v>
      </c>
      <c r="J14" s="17" t="s">
        <v>24</v>
      </c>
    </row>
    <row r="15" spans="1:10" x14ac:dyDescent="0.25">
      <c r="A15">
        <v>1</v>
      </c>
      <c r="B15" s="4">
        <v>0.33700231481481485</v>
      </c>
      <c r="D15" s="5" t="s">
        <v>14</v>
      </c>
      <c r="E15" s="5" t="s">
        <v>16</v>
      </c>
      <c r="G15" s="6" t="str">
        <f t="shared" si="0"/>
        <v/>
      </c>
      <c r="H15" s="13" t="str">
        <f t="shared" si="1"/>
        <v/>
      </c>
      <c r="I15" s="6" t="str">
        <f t="shared" si="2"/>
        <v>mount</v>
      </c>
      <c r="J15" s="15"/>
    </row>
    <row r="16" spans="1:10" x14ac:dyDescent="0.25">
      <c r="A16">
        <v>1</v>
      </c>
      <c r="B16" s="4">
        <v>0.33746527777777779</v>
      </c>
      <c r="D16" s="5" t="s">
        <v>21</v>
      </c>
      <c r="E16" s="5" t="s">
        <v>16</v>
      </c>
      <c r="G16" s="6" t="str">
        <f t="shared" si="0"/>
        <v/>
      </c>
      <c r="H16" s="13" t="str">
        <f t="shared" si="1"/>
        <v/>
      </c>
      <c r="I16" s="6" t="str">
        <f t="shared" si="2"/>
        <v>mount</v>
      </c>
    </row>
    <row r="17" spans="1:10" x14ac:dyDescent="0.25">
      <c r="A17">
        <v>1</v>
      </c>
      <c r="B17" s="4">
        <v>0.33756944444444442</v>
      </c>
      <c r="D17" s="5" t="s">
        <v>12</v>
      </c>
      <c r="E17" s="5" t="s">
        <v>25</v>
      </c>
      <c r="G17" s="6" t="str">
        <f t="shared" si="0"/>
        <v/>
      </c>
      <c r="H17" s="13" t="str">
        <f t="shared" si="1"/>
        <v/>
      </c>
      <c r="I17" s="6" t="str">
        <f t="shared" si="2"/>
        <v>mount</v>
      </c>
    </row>
    <row r="18" spans="1:10" x14ac:dyDescent="0.25">
      <c r="A18">
        <v>1</v>
      </c>
      <c r="B18" s="4">
        <v>0.33758101851851857</v>
      </c>
      <c r="C18" s="4">
        <v>0.33853009259259265</v>
      </c>
      <c r="D18" s="5" t="s">
        <v>14</v>
      </c>
      <c r="E18" s="5" t="s">
        <v>17</v>
      </c>
      <c r="F18" s="6" t="s">
        <v>20</v>
      </c>
      <c r="G18" s="6" t="str">
        <f t="shared" si="0"/>
        <v>NA</v>
      </c>
      <c r="H18" s="13" t="s">
        <v>20</v>
      </c>
      <c r="I18" s="6" t="str">
        <f t="shared" si="2"/>
        <v>insemination</v>
      </c>
    </row>
    <row r="19" spans="1:10" x14ac:dyDescent="0.25">
      <c r="A19">
        <v>1</v>
      </c>
      <c r="B19" s="4">
        <v>0.33807870370370369</v>
      </c>
      <c r="C19" s="4">
        <v>0.33905092592592595</v>
      </c>
      <c r="D19" s="5" t="s">
        <v>15</v>
      </c>
      <c r="E19" s="5" t="s">
        <v>26</v>
      </c>
      <c r="F19" s="6" t="s">
        <v>20</v>
      </c>
      <c r="G19" s="6" t="str">
        <f t="shared" si="0"/>
        <v>NA</v>
      </c>
      <c r="H19" s="13" t="s">
        <v>20</v>
      </c>
      <c r="I19" s="6" t="str">
        <f t="shared" si="2"/>
        <v>insemination</v>
      </c>
      <c r="J19" s="17" t="s">
        <v>24</v>
      </c>
    </row>
    <row r="20" spans="1:10" x14ac:dyDescent="0.25">
      <c r="A20">
        <v>1</v>
      </c>
      <c r="B20" s="4">
        <v>0.33858796296296295</v>
      </c>
      <c r="C20" s="4"/>
      <c r="D20" s="5" t="s">
        <v>14</v>
      </c>
      <c r="E20" s="5" t="s">
        <v>21</v>
      </c>
      <c r="G20" s="6" t="str">
        <f t="shared" si="0"/>
        <v/>
      </c>
      <c r="H20" s="13" t="str">
        <f t="shared" si="1"/>
        <v/>
      </c>
      <c r="I20" s="6" t="str">
        <f t="shared" si="2"/>
        <v>mount</v>
      </c>
    </row>
    <row r="21" spans="1:10" x14ac:dyDescent="0.25">
      <c r="A21">
        <v>1</v>
      </c>
      <c r="B21" s="4">
        <v>0.33876157407407409</v>
      </c>
      <c r="C21" s="4">
        <v>0.34028935185185188</v>
      </c>
      <c r="D21" s="5" t="s">
        <v>22</v>
      </c>
      <c r="E21" s="5" t="s">
        <v>28</v>
      </c>
      <c r="F21" s="6" t="s">
        <v>29</v>
      </c>
      <c r="G21" s="6" t="s">
        <v>20</v>
      </c>
      <c r="H21" s="13" t="s">
        <v>20</v>
      </c>
      <c r="I21" s="6" t="str">
        <f t="shared" si="2"/>
        <v>insemination</v>
      </c>
    </row>
    <row r="22" spans="1:10" x14ac:dyDescent="0.25">
      <c r="A22">
        <v>1</v>
      </c>
      <c r="B22" s="4">
        <v>0.33938657407407408</v>
      </c>
      <c r="D22" s="5" t="s">
        <v>14</v>
      </c>
      <c r="E22" s="5" t="s">
        <v>17</v>
      </c>
      <c r="F22" s="6" t="s">
        <v>20</v>
      </c>
      <c r="G22" s="6" t="str">
        <f t="shared" si="0"/>
        <v>NA</v>
      </c>
      <c r="H22" s="13" t="str">
        <f t="shared" si="1"/>
        <v/>
      </c>
      <c r="I22" s="6" t="str">
        <f t="shared" si="2"/>
        <v>mount</v>
      </c>
    </row>
    <row r="23" spans="1:10" x14ac:dyDescent="0.25">
      <c r="A23">
        <v>1</v>
      </c>
      <c r="B23" s="4">
        <v>0.33953703703703703</v>
      </c>
      <c r="C23" s="4"/>
      <c r="D23" s="5" t="s">
        <v>15</v>
      </c>
      <c r="E23" s="5" t="s">
        <v>23</v>
      </c>
      <c r="F23" s="6" t="s">
        <v>20</v>
      </c>
      <c r="G23" s="6" t="str">
        <f t="shared" si="0"/>
        <v>NA</v>
      </c>
      <c r="H23" s="13" t="s">
        <v>29</v>
      </c>
      <c r="I23" s="6" t="str">
        <f t="shared" si="2"/>
        <v>mount</v>
      </c>
      <c r="J23" s="15"/>
    </row>
    <row r="24" spans="1:10" x14ac:dyDescent="0.25">
      <c r="A24">
        <v>1</v>
      </c>
      <c r="B24" s="4">
        <v>0.33981481481481479</v>
      </c>
      <c r="C24" s="4"/>
      <c r="D24" s="5" t="s">
        <v>18</v>
      </c>
      <c r="E24" s="5" t="s">
        <v>15</v>
      </c>
      <c r="G24" s="6" t="str">
        <f t="shared" si="0"/>
        <v/>
      </c>
      <c r="H24" s="13" t="str">
        <f t="shared" si="1"/>
        <v/>
      </c>
      <c r="I24" s="6" t="str">
        <f t="shared" si="2"/>
        <v>mount</v>
      </c>
    </row>
    <row r="25" spans="1:10" x14ac:dyDescent="0.25">
      <c r="A25">
        <v>1</v>
      </c>
      <c r="B25" s="4">
        <v>0.33981481481481479</v>
      </c>
      <c r="D25" s="5" t="s">
        <v>14</v>
      </c>
      <c r="E25" s="5" t="s">
        <v>12</v>
      </c>
      <c r="G25" s="6" t="str">
        <f t="shared" si="0"/>
        <v/>
      </c>
      <c r="H25" s="13" t="str">
        <f t="shared" si="1"/>
        <v/>
      </c>
      <c r="I25" s="6" t="str">
        <f t="shared" si="2"/>
        <v>mount</v>
      </c>
    </row>
    <row r="26" spans="1:10" x14ac:dyDescent="0.25">
      <c r="A26">
        <v>1</v>
      </c>
      <c r="B26" s="4">
        <v>0.33983796296296293</v>
      </c>
      <c r="C26" s="4"/>
      <c r="D26" s="5" t="s">
        <v>21</v>
      </c>
      <c r="E26" s="5" t="s">
        <v>14</v>
      </c>
      <c r="G26" s="6" t="str">
        <f t="shared" si="0"/>
        <v/>
      </c>
      <c r="H26" s="13" t="str">
        <f t="shared" si="1"/>
        <v/>
      </c>
      <c r="I26" s="6" t="str">
        <f t="shared" si="2"/>
        <v>mount</v>
      </c>
    </row>
    <row r="27" spans="1:10" x14ac:dyDescent="0.25">
      <c r="A27">
        <v>1</v>
      </c>
      <c r="B27" s="4">
        <v>0.33994212962962966</v>
      </c>
      <c r="C27" s="4">
        <v>0.34125</v>
      </c>
      <c r="D27" s="5" t="s">
        <v>18</v>
      </c>
      <c r="E27" s="5" t="s">
        <v>23</v>
      </c>
      <c r="F27" s="6" t="s">
        <v>20</v>
      </c>
      <c r="G27" s="6" t="str">
        <f t="shared" si="0"/>
        <v>NA</v>
      </c>
      <c r="H27" s="13" t="s">
        <v>20</v>
      </c>
      <c r="I27" s="6" t="str">
        <f t="shared" si="2"/>
        <v>insemination</v>
      </c>
    </row>
    <row r="28" spans="1:10" x14ac:dyDescent="0.25">
      <c r="A28">
        <v>1</v>
      </c>
      <c r="B28" s="4">
        <v>0.34107638888888886</v>
      </c>
      <c r="D28" s="5" t="s">
        <v>15</v>
      </c>
      <c r="E28" s="5" t="s">
        <v>18</v>
      </c>
      <c r="G28" s="6" t="str">
        <f t="shared" si="0"/>
        <v/>
      </c>
      <c r="H28" s="13" t="str">
        <f t="shared" si="1"/>
        <v/>
      </c>
      <c r="I28" s="6" t="str">
        <f t="shared" si="2"/>
        <v>mount</v>
      </c>
      <c r="J28" s="15"/>
    </row>
    <row r="29" spans="1:10" x14ac:dyDescent="0.25">
      <c r="A29">
        <v>1</v>
      </c>
      <c r="B29" s="4">
        <v>0.34107638888888886</v>
      </c>
      <c r="C29" s="1"/>
      <c r="D29" s="5" t="s">
        <v>12</v>
      </c>
      <c r="E29" s="5" t="s">
        <v>17</v>
      </c>
      <c r="F29" s="6" t="s">
        <v>29</v>
      </c>
      <c r="G29" s="6" t="s">
        <v>29</v>
      </c>
      <c r="H29" s="13" t="str">
        <f t="shared" si="1"/>
        <v>NA</v>
      </c>
      <c r="I29" s="6" t="str">
        <f t="shared" si="2"/>
        <v>mount</v>
      </c>
      <c r="J29" s="15"/>
    </row>
    <row r="30" spans="1:10" x14ac:dyDescent="0.25">
      <c r="A30">
        <v>1</v>
      </c>
      <c r="B30" s="4">
        <v>0.34108796296296301</v>
      </c>
      <c r="D30" s="5" t="s">
        <v>15</v>
      </c>
      <c r="E30" s="5" t="s">
        <v>18</v>
      </c>
      <c r="G30" s="6" t="str">
        <f t="shared" si="0"/>
        <v/>
      </c>
      <c r="H30" s="13" t="str">
        <f t="shared" si="1"/>
        <v/>
      </c>
      <c r="I30" s="6" t="str">
        <f t="shared" si="2"/>
        <v>mount</v>
      </c>
    </row>
    <row r="31" spans="1:10" x14ac:dyDescent="0.25">
      <c r="A31">
        <v>1</v>
      </c>
      <c r="B31" s="4">
        <v>0.34142361111111108</v>
      </c>
      <c r="C31" s="4">
        <v>0.34224537037037034</v>
      </c>
      <c r="D31" s="5" t="s">
        <v>15</v>
      </c>
      <c r="E31" s="5" t="s">
        <v>26</v>
      </c>
      <c r="F31" s="6" t="s">
        <v>20</v>
      </c>
      <c r="G31" s="6" t="str">
        <f t="shared" si="0"/>
        <v>NA</v>
      </c>
      <c r="H31" s="13" t="s">
        <v>20</v>
      </c>
      <c r="I31" s="6" t="str">
        <f t="shared" si="2"/>
        <v>insemination</v>
      </c>
    </row>
    <row r="32" spans="1:10" x14ac:dyDescent="0.25">
      <c r="A32">
        <v>1</v>
      </c>
      <c r="B32" s="4">
        <v>0.34368055555555554</v>
      </c>
      <c r="D32" s="5" t="s">
        <v>15</v>
      </c>
      <c r="E32" s="5" t="s">
        <v>18</v>
      </c>
      <c r="G32" s="6" t="str">
        <f t="shared" si="0"/>
        <v/>
      </c>
      <c r="H32" s="13" t="str">
        <f t="shared" si="1"/>
        <v/>
      </c>
      <c r="I32" s="6" t="str">
        <f t="shared" si="2"/>
        <v>mount</v>
      </c>
    </row>
    <row r="33" spans="1:10" x14ac:dyDescent="0.25">
      <c r="A33">
        <v>1</v>
      </c>
      <c r="B33" s="4">
        <v>0.3442013888888889</v>
      </c>
      <c r="D33" s="5" t="s">
        <v>21</v>
      </c>
      <c r="E33" s="5" t="s">
        <v>14</v>
      </c>
      <c r="G33" s="6" t="str">
        <f t="shared" si="0"/>
        <v/>
      </c>
      <c r="H33" s="13" t="str">
        <f t="shared" si="1"/>
        <v/>
      </c>
      <c r="I33" s="6" t="str">
        <f t="shared" si="2"/>
        <v>mount</v>
      </c>
    </row>
    <row r="34" spans="1:10" x14ac:dyDescent="0.25">
      <c r="A34">
        <v>1</v>
      </c>
      <c r="B34" s="4">
        <v>0.34511574074074075</v>
      </c>
      <c r="D34" s="5" t="s">
        <v>15</v>
      </c>
      <c r="E34" s="5" t="s">
        <v>18</v>
      </c>
      <c r="G34" s="6" t="str">
        <f t="shared" si="0"/>
        <v/>
      </c>
      <c r="H34" s="13" t="str">
        <f t="shared" si="1"/>
        <v/>
      </c>
      <c r="I34" s="6" t="str">
        <f t="shared" si="2"/>
        <v>mount</v>
      </c>
    </row>
    <row r="35" spans="1:10" x14ac:dyDescent="0.25">
      <c r="A35">
        <v>1</v>
      </c>
      <c r="B35" s="4">
        <v>0.34572916666666664</v>
      </c>
      <c r="D35" s="5" t="s">
        <v>14</v>
      </c>
      <c r="E35" s="5" t="s">
        <v>16</v>
      </c>
      <c r="G35" s="6" t="str">
        <f t="shared" si="0"/>
        <v/>
      </c>
      <c r="H35" s="13" t="str">
        <f t="shared" si="1"/>
        <v/>
      </c>
      <c r="I35" s="6" t="str">
        <f t="shared" si="2"/>
        <v>mount</v>
      </c>
    </row>
    <row r="36" spans="1:10" x14ac:dyDescent="0.25">
      <c r="A36">
        <v>1</v>
      </c>
      <c r="B36" s="4">
        <v>0.34611111111111109</v>
      </c>
      <c r="D36" s="5" t="s">
        <v>15</v>
      </c>
      <c r="E36" s="5" t="s">
        <v>19</v>
      </c>
      <c r="F36" s="6" t="s">
        <v>29</v>
      </c>
      <c r="G36" s="6" t="s">
        <v>29</v>
      </c>
      <c r="H36" s="13" t="str">
        <f t="shared" si="1"/>
        <v>NA</v>
      </c>
      <c r="I36" s="6" t="str">
        <f t="shared" si="2"/>
        <v>mount</v>
      </c>
    </row>
    <row r="37" spans="1:10" x14ac:dyDescent="0.25">
      <c r="A37">
        <v>1</v>
      </c>
      <c r="B37" s="4">
        <v>0.34630787037037036</v>
      </c>
      <c r="D37" s="5" t="s">
        <v>18</v>
      </c>
      <c r="E37" s="5" t="s">
        <v>15</v>
      </c>
      <c r="G37" s="6" t="str">
        <f t="shared" si="0"/>
        <v/>
      </c>
      <c r="H37" s="13" t="str">
        <f t="shared" si="1"/>
        <v/>
      </c>
      <c r="I37" s="6" t="str">
        <f t="shared" si="2"/>
        <v>mount</v>
      </c>
    </row>
    <row r="38" spans="1:10" x14ac:dyDescent="0.25">
      <c r="A38">
        <v>1</v>
      </c>
      <c r="B38" s="4">
        <v>0.34646990740740741</v>
      </c>
      <c r="D38" s="5" t="s">
        <v>15</v>
      </c>
      <c r="E38" s="5" t="s">
        <v>18</v>
      </c>
      <c r="G38" s="6" t="str">
        <f t="shared" si="0"/>
        <v/>
      </c>
      <c r="H38" s="13" t="str">
        <f t="shared" si="1"/>
        <v/>
      </c>
      <c r="I38" s="6" t="str">
        <f t="shared" si="2"/>
        <v>mount</v>
      </c>
      <c r="J38" s="15"/>
    </row>
    <row r="39" spans="1:10" x14ac:dyDescent="0.25">
      <c r="A39">
        <v>1</v>
      </c>
      <c r="B39" s="4">
        <v>0.34768518518518521</v>
      </c>
      <c r="D39" s="5" t="s">
        <v>18</v>
      </c>
      <c r="E39" s="5" t="s">
        <v>23</v>
      </c>
      <c r="F39" s="6" t="s">
        <v>29</v>
      </c>
      <c r="G39" s="6" t="s">
        <v>29</v>
      </c>
      <c r="H39" s="13" t="str">
        <f t="shared" si="1"/>
        <v>NA</v>
      </c>
      <c r="I39" s="6" t="str">
        <f t="shared" si="2"/>
        <v>mount</v>
      </c>
      <c r="J39" t="s">
        <v>31</v>
      </c>
    </row>
    <row r="40" spans="1:10" x14ac:dyDescent="0.25">
      <c r="A40">
        <v>1</v>
      </c>
      <c r="B40" s="4">
        <v>0.34769675925925925</v>
      </c>
      <c r="D40" s="5" t="s">
        <v>15</v>
      </c>
      <c r="E40" s="5" t="s">
        <v>23</v>
      </c>
      <c r="F40" s="6" t="s">
        <v>20</v>
      </c>
      <c r="G40" s="6" t="s">
        <v>30</v>
      </c>
      <c r="H40" s="13" t="s">
        <v>29</v>
      </c>
      <c r="I40" s="6" t="str">
        <f t="shared" si="2"/>
        <v>mount</v>
      </c>
      <c r="J40" t="s">
        <v>31</v>
      </c>
    </row>
    <row r="41" spans="1:10" x14ac:dyDescent="0.25">
      <c r="A41">
        <v>1</v>
      </c>
      <c r="B41" s="4">
        <v>0.34818287037037038</v>
      </c>
      <c r="D41" s="5" t="s">
        <v>18</v>
      </c>
      <c r="E41" s="5" t="s">
        <v>13</v>
      </c>
      <c r="G41" s="6" t="str">
        <f t="shared" si="0"/>
        <v/>
      </c>
      <c r="H41" s="13" t="str">
        <f t="shared" si="1"/>
        <v/>
      </c>
      <c r="I41" s="6" t="str">
        <f t="shared" si="2"/>
        <v>mount</v>
      </c>
    </row>
    <row r="42" spans="1:10" x14ac:dyDescent="0.25">
      <c r="A42">
        <v>1</v>
      </c>
      <c r="B42" s="4">
        <v>0.34862268518518519</v>
      </c>
      <c r="D42" s="5" t="s">
        <v>22</v>
      </c>
      <c r="E42" s="5" t="s">
        <v>28</v>
      </c>
      <c r="F42" s="6" t="s">
        <v>20</v>
      </c>
      <c r="G42" s="6" t="str">
        <f t="shared" si="0"/>
        <v>NA</v>
      </c>
      <c r="H42" s="13" t="s">
        <v>29</v>
      </c>
      <c r="I42" s="6" t="str">
        <f t="shared" si="2"/>
        <v>mount</v>
      </c>
    </row>
    <row r="43" spans="1:10" x14ac:dyDescent="0.25">
      <c r="A43">
        <v>1</v>
      </c>
      <c r="B43" s="4">
        <v>0.34931712962962963</v>
      </c>
      <c r="D43" s="5" t="s">
        <v>14</v>
      </c>
      <c r="E43" s="5" t="s">
        <v>32</v>
      </c>
      <c r="F43" s="6" t="s">
        <v>29</v>
      </c>
      <c r="G43" s="6" t="s">
        <v>20</v>
      </c>
      <c r="H43" s="13" t="s">
        <v>29</v>
      </c>
      <c r="I43" s="6" t="str">
        <f t="shared" si="2"/>
        <v>mount</v>
      </c>
      <c r="J43" t="s">
        <v>31</v>
      </c>
    </row>
    <row r="44" spans="1:10" x14ac:dyDescent="0.25">
      <c r="A44">
        <v>1</v>
      </c>
      <c r="B44" s="4">
        <v>0.34953703703703703</v>
      </c>
      <c r="C44" s="4"/>
      <c r="D44" s="5" t="s">
        <v>16</v>
      </c>
      <c r="E44" s="5" t="s">
        <v>14</v>
      </c>
      <c r="G44" s="6" t="str">
        <f t="shared" si="0"/>
        <v/>
      </c>
      <c r="H44" s="13" t="str">
        <f t="shared" si="1"/>
        <v/>
      </c>
      <c r="I44" s="6" t="str">
        <f t="shared" si="2"/>
        <v>mount</v>
      </c>
    </row>
    <row r="45" spans="1:10" x14ac:dyDescent="0.25">
      <c r="A45">
        <v>1</v>
      </c>
      <c r="B45" s="4">
        <v>0.34986111111111112</v>
      </c>
      <c r="D45" s="5" t="s">
        <v>21</v>
      </c>
      <c r="E45" s="5" t="s">
        <v>14</v>
      </c>
      <c r="G45" s="6" t="str">
        <f t="shared" si="0"/>
        <v/>
      </c>
      <c r="H45" s="13" t="str">
        <f t="shared" si="1"/>
        <v/>
      </c>
      <c r="I45" s="6" t="str">
        <f t="shared" si="2"/>
        <v>mount</v>
      </c>
    </row>
    <row r="46" spans="1:10" x14ac:dyDescent="0.25">
      <c r="A46">
        <v>1</v>
      </c>
      <c r="B46" s="4">
        <v>0.34986111111111112</v>
      </c>
      <c r="D46" s="5" t="s">
        <v>22</v>
      </c>
      <c r="E46" s="5" t="s">
        <v>19</v>
      </c>
      <c r="F46" s="6" t="s">
        <v>29</v>
      </c>
      <c r="G46" s="6" t="s">
        <v>29</v>
      </c>
      <c r="H46" s="13" t="str">
        <f t="shared" si="1"/>
        <v>NA</v>
      </c>
      <c r="I46" s="6" t="str">
        <f t="shared" si="2"/>
        <v>mount</v>
      </c>
    </row>
    <row r="47" spans="1:10" x14ac:dyDescent="0.25">
      <c r="A47">
        <v>1</v>
      </c>
      <c r="B47" s="4">
        <v>0.34986111111111112</v>
      </c>
      <c r="D47" s="5" t="s">
        <v>18</v>
      </c>
      <c r="E47" s="5" t="s">
        <v>15</v>
      </c>
      <c r="G47" s="6" t="str">
        <f t="shared" si="0"/>
        <v/>
      </c>
      <c r="H47" s="13" t="str">
        <f t="shared" si="1"/>
        <v/>
      </c>
      <c r="I47" s="6" t="str">
        <f t="shared" si="2"/>
        <v>mount</v>
      </c>
    </row>
    <row r="48" spans="1:10" x14ac:dyDescent="0.25">
      <c r="A48">
        <v>1</v>
      </c>
      <c r="B48" s="4">
        <v>0.34987268518518522</v>
      </c>
      <c r="D48" s="5" t="s">
        <v>13</v>
      </c>
      <c r="E48" s="5" t="s">
        <v>18</v>
      </c>
      <c r="G48" s="6" t="str">
        <f t="shared" si="0"/>
        <v/>
      </c>
      <c r="H48" s="13" t="str">
        <f t="shared" si="1"/>
        <v/>
      </c>
      <c r="I48" s="6" t="str">
        <f t="shared" si="2"/>
        <v>mount</v>
      </c>
    </row>
    <row r="49" spans="1:10" x14ac:dyDescent="0.25">
      <c r="A49">
        <v>1</v>
      </c>
      <c r="B49" s="4">
        <v>0.35106481481481483</v>
      </c>
      <c r="D49" s="5" t="s">
        <v>18</v>
      </c>
      <c r="E49" s="5" t="s">
        <v>23</v>
      </c>
      <c r="F49" s="6" t="s">
        <v>20</v>
      </c>
      <c r="G49" s="6" t="str">
        <f t="shared" si="0"/>
        <v>NA</v>
      </c>
      <c r="H49" s="13" t="s">
        <v>29</v>
      </c>
      <c r="I49" s="6" t="str">
        <f t="shared" si="2"/>
        <v>mount</v>
      </c>
      <c r="J49" s="15"/>
    </row>
    <row r="50" spans="1:10" x14ac:dyDescent="0.25">
      <c r="A50">
        <v>1</v>
      </c>
      <c r="B50" s="4">
        <v>0.35395833333333332</v>
      </c>
      <c r="D50" s="5" t="s">
        <v>18</v>
      </c>
      <c r="E50" s="5" t="s">
        <v>15</v>
      </c>
      <c r="G50" s="6" t="str">
        <f t="shared" si="0"/>
        <v/>
      </c>
      <c r="H50" s="13" t="str">
        <f t="shared" si="1"/>
        <v/>
      </c>
      <c r="I50" s="6" t="str">
        <f t="shared" si="2"/>
        <v>mount</v>
      </c>
    </row>
    <row r="51" spans="1:10" x14ac:dyDescent="0.25">
      <c r="A51">
        <v>1</v>
      </c>
      <c r="B51" s="4">
        <v>0.35410879629629632</v>
      </c>
      <c r="D51" s="5" t="s">
        <v>15</v>
      </c>
      <c r="E51" s="5" t="s">
        <v>23</v>
      </c>
      <c r="F51" s="6" t="s">
        <v>20</v>
      </c>
      <c r="G51" s="6" t="str">
        <f t="shared" si="0"/>
        <v>NA</v>
      </c>
      <c r="H51" s="18" t="s">
        <v>29</v>
      </c>
      <c r="I51" s="6" t="str">
        <f t="shared" si="2"/>
        <v>mount</v>
      </c>
      <c r="J51" s="17" t="s">
        <v>33</v>
      </c>
    </row>
    <row r="52" spans="1:10" x14ac:dyDescent="0.25">
      <c r="A52">
        <v>1</v>
      </c>
      <c r="B52" s="4">
        <v>0.35754629629629631</v>
      </c>
      <c r="D52" s="5" t="s">
        <v>21</v>
      </c>
      <c r="E52" s="5" t="s">
        <v>16</v>
      </c>
      <c r="G52" s="6" t="str">
        <f t="shared" si="0"/>
        <v/>
      </c>
      <c r="H52" s="13" t="str">
        <f t="shared" si="1"/>
        <v/>
      </c>
      <c r="I52" s="6" t="str">
        <f t="shared" si="2"/>
        <v>mount</v>
      </c>
      <c r="J52" s="15"/>
    </row>
    <row r="53" spans="1:10" x14ac:dyDescent="0.25">
      <c r="A53">
        <v>1</v>
      </c>
      <c r="B53" s="4">
        <v>0.35979166666666668</v>
      </c>
      <c r="C53" s="4">
        <v>0.36141203703703706</v>
      </c>
      <c r="D53" s="5" t="s">
        <v>16</v>
      </c>
      <c r="E53" s="5" t="s">
        <v>17</v>
      </c>
      <c r="F53" s="6" t="s">
        <v>20</v>
      </c>
      <c r="G53" s="6" t="str">
        <f t="shared" si="0"/>
        <v>NA</v>
      </c>
      <c r="H53" s="13" t="s">
        <v>20</v>
      </c>
      <c r="I53" s="6" t="str">
        <f t="shared" si="2"/>
        <v>insemination</v>
      </c>
    </row>
    <row r="54" spans="1:10" x14ac:dyDescent="0.25">
      <c r="A54">
        <v>1</v>
      </c>
      <c r="B54" s="4">
        <v>0.36192129629629632</v>
      </c>
      <c r="D54" s="5" t="s">
        <v>15</v>
      </c>
      <c r="E54" s="5" t="s">
        <v>23</v>
      </c>
      <c r="F54" s="6" t="s">
        <v>20</v>
      </c>
      <c r="G54" s="6" t="str">
        <f t="shared" si="0"/>
        <v>NA</v>
      </c>
      <c r="H54" s="13" t="s">
        <v>29</v>
      </c>
      <c r="I54" s="6" t="str">
        <f t="shared" si="2"/>
        <v>mount</v>
      </c>
    </row>
    <row r="55" spans="1:10" x14ac:dyDescent="0.25">
      <c r="A55">
        <v>1</v>
      </c>
      <c r="B55" s="4">
        <v>0.36248842592592595</v>
      </c>
      <c r="D55" s="5" t="s">
        <v>18</v>
      </c>
      <c r="E55" s="5" t="s">
        <v>15</v>
      </c>
      <c r="G55" s="6" t="str">
        <f t="shared" si="0"/>
        <v/>
      </c>
      <c r="H55" s="13" t="str">
        <f t="shared" si="1"/>
        <v/>
      </c>
      <c r="I55" s="6" t="str">
        <f t="shared" si="2"/>
        <v>mount</v>
      </c>
    </row>
    <row r="56" spans="1:10" x14ac:dyDescent="0.25">
      <c r="A56">
        <v>1</v>
      </c>
      <c r="B56" s="4">
        <v>0.36511574074074077</v>
      </c>
      <c r="D56" s="5" t="s">
        <v>21</v>
      </c>
      <c r="E56" s="5" t="s">
        <v>12</v>
      </c>
      <c r="G56" s="6" t="str">
        <f t="shared" si="0"/>
        <v/>
      </c>
      <c r="H56" s="13" t="str">
        <f t="shared" si="1"/>
        <v/>
      </c>
      <c r="I56" s="6" t="str">
        <f t="shared" si="2"/>
        <v>mount</v>
      </c>
    </row>
    <row r="57" spans="1:10" x14ac:dyDescent="0.25">
      <c r="A57">
        <v>1</v>
      </c>
      <c r="B57" s="4">
        <v>0.36621527777777779</v>
      </c>
      <c r="D57" s="5" t="s">
        <v>21</v>
      </c>
      <c r="E57" s="5" t="s">
        <v>12</v>
      </c>
      <c r="G57" s="6" t="str">
        <f t="shared" si="0"/>
        <v/>
      </c>
      <c r="H57" s="13" t="str">
        <f t="shared" si="1"/>
        <v/>
      </c>
      <c r="I57" s="6" t="str">
        <f t="shared" si="2"/>
        <v>mount</v>
      </c>
    </row>
    <row r="58" spans="1:10" x14ac:dyDescent="0.25">
      <c r="A58">
        <v>1</v>
      </c>
      <c r="B58" s="4">
        <v>0.36656249999999996</v>
      </c>
      <c r="D58" s="5" t="s">
        <v>12</v>
      </c>
      <c r="E58" s="5" t="s">
        <v>21</v>
      </c>
      <c r="G58" s="6" t="str">
        <f t="shared" si="0"/>
        <v/>
      </c>
      <c r="H58" s="13" t="str">
        <f t="shared" si="1"/>
        <v/>
      </c>
      <c r="I58" s="6" t="str">
        <f t="shared" si="2"/>
        <v>mount</v>
      </c>
    </row>
    <row r="59" spans="1:10" x14ac:dyDescent="0.25">
      <c r="A59">
        <v>1</v>
      </c>
      <c r="B59" s="4">
        <v>0.36672453703703706</v>
      </c>
      <c r="D59" s="5" t="s">
        <v>12</v>
      </c>
      <c r="E59" s="5" t="s">
        <v>17</v>
      </c>
      <c r="F59" s="6" t="s">
        <v>20</v>
      </c>
      <c r="G59" s="6" t="str">
        <f t="shared" si="0"/>
        <v>NA</v>
      </c>
      <c r="H59" s="13" t="s">
        <v>29</v>
      </c>
      <c r="I59" s="6" t="str">
        <f t="shared" si="2"/>
        <v>mount</v>
      </c>
    </row>
    <row r="60" spans="1:10" x14ac:dyDescent="0.25">
      <c r="A60">
        <v>1</v>
      </c>
      <c r="B60" s="4">
        <v>0.36826388888888889</v>
      </c>
      <c r="D60" s="5" t="s">
        <v>18</v>
      </c>
      <c r="E60" s="5" t="s">
        <v>15</v>
      </c>
      <c r="G60" s="6" t="str">
        <f t="shared" si="0"/>
        <v/>
      </c>
      <c r="H60" s="13" t="str">
        <f t="shared" si="1"/>
        <v/>
      </c>
      <c r="I60" s="6" t="str">
        <f t="shared" si="2"/>
        <v>mount</v>
      </c>
    </row>
    <row r="61" spans="1:10" x14ac:dyDescent="0.25">
      <c r="A61">
        <v>1</v>
      </c>
      <c r="B61" s="4">
        <v>0.36858796296296298</v>
      </c>
      <c r="C61" s="4">
        <v>0.37076388888888889</v>
      </c>
      <c r="D61" s="5" t="s">
        <v>18</v>
      </c>
      <c r="E61" s="5" t="s">
        <v>34</v>
      </c>
      <c r="F61" s="6" t="s">
        <v>20</v>
      </c>
      <c r="G61" s="6" t="str">
        <f t="shared" si="0"/>
        <v>NA</v>
      </c>
      <c r="H61" s="13" t="s">
        <v>20</v>
      </c>
      <c r="I61" s="6" t="str">
        <f t="shared" si="2"/>
        <v>insemination</v>
      </c>
    </row>
    <row r="62" spans="1:10" x14ac:dyDescent="0.25">
      <c r="A62">
        <v>1</v>
      </c>
      <c r="B62" s="4">
        <v>0.3704513888888889</v>
      </c>
      <c r="D62" s="5" t="s">
        <v>12</v>
      </c>
      <c r="E62" s="5" t="s">
        <v>21</v>
      </c>
      <c r="G62" s="6" t="str">
        <f t="shared" si="0"/>
        <v/>
      </c>
      <c r="H62" s="13" t="str">
        <f t="shared" si="1"/>
        <v/>
      </c>
      <c r="I62" s="6" t="str">
        <f t="shared" si="2"/>
        <v>mount</v>
      </c>
    </row>
    <row r="63" spans="1:10" x14ac:dyDescent="0.25">
      <c r="A63">
        <v>1</v>
      </c>
      <c r="B63" s="4">
        <v>0.37113425925925925</v>
      </c>
      <c r="D63" s="5" t="s">
        <v>16</v>
      </c>
      <c r="E63" s="5" t="s">
        <v>12</v>
      </c>
      <c r="G63" s="6" t="str">
        <f t="shared" si="0"/>
        <v/>
      </c>
      <c r="H63" s="13" t="str">
        <f t="shared" si="1"/>
        <v/>
      </c>
      <c r="I63" s="6" t="str">
        <f t="shared" si="2"/>
        <v>mount</v>
      </c>
    </row>
    <row r="64" spans="1:10" x14ac:dyDescent="0.25">
      <c r="A64">
        <v>1</v>
      </c>
      <c r="B64" s="4">
        <v>0.37596064814814811</v>
      </c>
      <c r="D64" s="5" t="s">
        <v>12</v>
      </c>
      <c r="E64" s="5" t="s">
        <v>27</v>
      </c>
      <c r="F64" s="6" t="s">
        <v>20</v>
      </c>
      <c r="G64" s="6" t="str">
        <f t="shared" si="0"/>
        <v>NA</v>
      </c>
      <c r="H64" s="13" t="s">
        <v>29</v>
      </c>
      <c r="I64" s="6" t="str">
        <f t="shared" si="2"/>
        <v>mount</v>
      </c>
    </row>
    <row r="65" spans="1:10" x14ac:dyDescent="0.25">
      <c r="A65">
        <v>1</v>
      </c>
      <c r="B65" s="4">
        <v>0.37872685185185184</v>
      </c>
      <c r="D65" s="5" t="s">
        <v>12</v>
      </c>
      <c r="E65" s="5" t="s">
        <v>27</v>
      </c>
      <c r="F65" s="6" t="s">
        <v>20</v>
      </c>
      <c r="G65" s="6" t="str">
        <f t="shared" si="0"/>
        <v>NA</v>
      </c>
      <c r="H65" s="13" t="s">
        <v>29</v>
      </c>
      <c r="I65" s="6" t="str">
        <f t="shared" si="2"/>
        <v>mount</v>
      </c>
    </row>
    <row r="66" spans="1:10" x14ac:dyDescent="0.25">
      <c r="A66">
        <v>1</v>
      </c>
      <c r="B66" s="4">
        <v>0.38004629629629627</v>
      </c>
      <c r="D66" s="5" t="s">
        <v>22</v>
      </c>
      <c r="E66" s="5" t="s">
        <v>26</v>
      </c>
      <c r="F66" s="6" t="s">
        <v>29</v>
      </c>
      <c r="G66" s="6" t="s">
        <v>20</v>
      </c>
      <c r="H66" s="13" t="s">
        <v>29</v>
      </c>
      <c r="I66" s="6" t="str">
        <f t="shared" si="2"/>
        <v>mount</v>
      </c>
    </row>
    <row r="67" spans="1:10" x14ac:dyDescent="0.25">
      <c r="A67">
        <v>1</v>
      </c>
      <c r="B67" s="4">
        <v>0.38349537037037035</v>
      </c>
      <c r="D67" s="5" t="s">
        <v>22</v>
      </c>
      <c r="E67" s="5" t="s">
        <v>28</v>
      </c>
      <c r="F67" s="6" t="s">
        <v>20</v>
      </c>
      <c r="G67" s="6" t="str">
        <f t="shared" ref="G67:G130" si="3">IF(F67 = "n", "NA", "")</f>
        <v>NA</v>
      </c>
      <c r="H67" s="13" t="s">
        <v>29</v>
      </c>
      <c r="I67" s="6" t="str">
        <f t="shared" ref="I67:I130" si="4">IF(H67="n", "insemination", "mount")</f>
        <v>mount</v>
      </c>
    </row>
    <row r="68" spans="1:10" x14ac:dyDescent="0.25">
      <c r="A68">
        <v>1</v>
      </c>
      <c r="B68" s="4">
        <v>0.38384259259259257</v>
      </c>
      <c r="D68" s="5" t="s">
        <v>18</v>
      </c>
      <c r="E68" s="5" t="s">
        <v>15</v>
      </c>
      <c r="G68" s="6" t="str">
        <f t="shared" si="3"/>
        <v/>
      </c>
      <c r="H68" s="13" t="str">
        <f t="shared" ref="H68:H130" si="5">IF(G68 = "y", "NA", "")</f>
        <v/>
      </c>
      <c r="I68" s="6" t="str">
        <f t="shared" si="4"/>
        <v>mount</v>
      </c>
    </row>
    <row r="69" spans="1:10" x14ac:dyDescent="0.25">
      <c r="A69">
        <v>1</v>
      </c>
      <c r="B69" s="4">
        <v>0.38512731481481483</v>
      </c>
      <c r="D69" s="5" t="s">
        <v>16</v>
      </c>
      <c r="E69" s="5" t="s">
        <v>14</v>
      </c>
      <c r="G69" s="6" t="str">
        <f t="shared" si="3"/>
        <v/>
      </c>
      <c r="H69" s="13" t="str">
        <f t="shared" si="5"/>
        <v/>
      </c>
      <c r="I69" s="6" t="str">
        <f t="shared" si="4"/>
        <v>mount</v>
      </c>
    </row>
    <row r="70" spans="1:10" x14ac:dyDescent="0.25">
      <c r="A70">
        <v>1</v>
      </c>
      <c r="B70" s="4">
        <v>0.38914351851851853</v>
      </c>
      <c r="D70" s="5" t="s">
        <v>22</v>
      </c>
      <c r="E70" s="5" t="s">
        <v>28</v>
      </c>
      <c r="F70" s="6" t="s">
        <v>20</v>
      </c>
      <c r="G70" s="6" t="str">
        <f t="shared" si="3"/>
        <v>NA</v>
      </c>
      <c r="H70" s="13" t="s">
        <v>29</v>
      </c>
      <c r="I70" s="6" t="str">
        <f t="shared" si="4"/>
        <v>mount</v>
      </c>
    </row>
    <row r="71" spans="1:10" x14ac:dyDescent="0.25">
      <c r="A71">
        <v>1</v>
      </c>
      <c r="B71" s="4">
        <v>0.39333333333333331</v>
      </c>
      <c r="C71" s="4"/>
      <c r="D71" s="5" t="s">
        <v>22</v>
      </c>
      <c r="E71" s="5" t="s">
        <v>28</v>
      </c>
      <c r="F71" s="6" t="s">
        <v>20</v>
      </c>
      <c r="G71" s="6" t="str">
        <f t="shared" si="3"/>
        <v>NA</v>
      </c>
      <c r="H71" s="13" t="s">
        <v>29</v>
      </c>
      <c r="I71" s="6" t="str">
        <f t="shared" si="4"/>
        <v>mount</v>
      </c>
    </row>
    <row r="72" spans="1:10" x14ac:dyDescent="0.25">
      <c r="A72">
        <v>1</v>
      </c>
      <c r="B72" s="4">
        <v>0.39368055555555559</v>
      </c>
      <c r="D72" s="5" t="s">
        <v>22</v>
      </c>
      <c r="E72" s="5" t="s">
        <v>28</v>
      </c>
      <c r="F72" s="6" t="s">
        <v>20</v>
      </c>
      <c r="G72" s="6" t="str">
        <f t="shared" si="3"/>
        <v>NA</v>
      </c>
      <c r="H72" s="13" t="s">
        <v>29</v>
      </c>
      <c r="I72" s="6" t="str">
        <f t="shared" si="4"/>
        <v>mount</v>
      </c>
    </row>
    <row r="73" spans="1:10" x14ac:dyDescent="0.25">
      <c r="A73">
        <v>1</v>
      </c>
      <c r="B73" s="4">
        <v>0.3963888888888889</v>
      </c>
      <c r="D73" s="5" t="s">
        <v>18</v>
      </c>
      <c r="E73" s="5" t="s">
        <v>15</v>
      </c>
      <c r="G73" s="6" t="str">
        <f t="shared" si="3"/>
        <v/>
      </c>
      <c r="H73" s="13" t="str">
        <f t="shared" si="5"/>
        <v/>
      </c>
      <c r="I73" s="6" t="str">
        <f t="shared" si="4"/>
        <v>mount</v>
      </c>
    </row>
    <row r="74" spans="1:10" x14ac:dyDescent="0.25">
      <c r="A74">
        <v>1</v>
      </c>
      <c r="B74" s="4">
        <v>0.39671296296296293</v>
      </c>
      <c r="D74" s="5" t="s">
        <v>16</v>
      </c>
      <c r="E74" s="5" t="s">
        <v>27</v>
      </c>
      <c r="F74" s="6" t="s">
        <v>20</v>
      </c>
      <c r="G74" s="6" t="str">
        <f t="shared" si="3"/>
        <v>NA</v>
      </c>
      <c r="H74" s="13" t="s">
        <v>29</v>
      </c>
      <c r="I74" s="6" t="str">
        <f t="shared" si="4"/>
        <v>mount</v>
      </c>
      <c r="J74" s="15"/>
    </row>
    <row r="75" spans="1:10" x14ac:dyDescent="0.25">
      <c r="A75">
        <v>1</v>
      </c>
      <c r="B75" s="4">
        <v>0.39680555555555558</v>
      </c>
      <c r="D75" s="5" t="s">
        <v>21</v>
      </c>
      <c r="E75" s="5" t="s">
        <v>16</v>
      </c>
      <c r="G75" s="6" t="str">
        <f t="shared" si="3"/>
        <v/>
      </c>
      <c r="H75" s="13" t="str">
        <f t="shared" si="5"/>
        <v/>
      </c>
      <c r="I75" s="6" t="str">
        <f t="shared" si="4"/>
        <v>mount</v>
      </c>
    </row>
    <row r="76" spans="1:10" x14ac:dyDescent="0.25">
      <c r="A76">
        <v>1</v>
      </c>
      <c r="B76" s="4">
        <v>0.39802083333333332</v>
      </c>
      <c r="D76" s="5" t="s">
        <v>21</v>
      </c>
      <c r="E76" s="5" t="s">
        <v>12</v>
      </c>
      <c r="G76" s="6" t="str">
        <f t="shared" si="3"/>
        <v/>
      </c>
      <c r="H76" s="13" t="str">
        <f t="shared" si="5"/>
        <v/>
      </c>
      <c r="I76" s="6" t="str">
        <f t="shared" si="4"/>
        <v>mount</v>
      </c>
    </row>
    <row r="77" spans="1:10" x14ac:dyDescent="0.25">
      <c r="A77">
        <v>1</v>
      </c>
      <c r="B77" s="4">
        <v>0.39934027777777775</v>
      </c>
      <c r="D77" s="5" t="s">
        <v>16</v>
      </c>
      <c r="E77" s="5" t="s">
        <v>27</v>
      </c>
      <c r="F77" s="6" t="s">
        <v>29</v>
      </c>
      <c r="G77" s="6" t="s">
        <v>29</v>
      </c>
      <c r="H77" s="13" t="str">
        <f t="shared" si="5"/>
        <v>NA</v>
      </c>
      <c r="I77" s="6" t="str">
        <f t="shared" si="4"/>
        <v>mount</v>
      </c>
    </row>
    <row r="78" spans="1:10" x14ac:dyDescent="0.25">
      <c r="A78">
        <v>1</v>
      </c>
      <c r="B78" s="4">
        <v>0.40084490740740741</v>
      </c>
      <c r="C78" s="4"/>
      <c r="D78" s="5" t="s">
        <v>21</v>
      </c>
      <c r="E78" s="5" t="s">
        <v>14</v>
      </c>
      <c r="G78" s="6" t="str">
        <f t="shared" si="3"/>
        <v/>
      </c>
      <c r="H78" s="13" t="str">
        <f t="shared" si="5"/>
        <v/>
      </c>
      <c r="I78" s="6" t="str">
        <f t="shared" si="4"/>
        <v>mount</v>
      </c>
    </row>
    <row r="79" spans="1:10" x14ac:dyDescent="0.25">
      <c r="A79">
        <v>1</v>
      </c>
      <c r="B79" s="4">
        <v>0.40171296296296299</v>
      </c>
      <c r="D79" s="5" t="s">
        <v>21</v>
      </c>
      <c r="E79" s="5" t="s">
        <v>27</v>
      </c>
      <c r="F79" s="6" t="s">
        <v>20</v>
      </c>
      <c r="G79" s="6" t="str">
        <f t="shared" si="3"/>
        <v>NA</v>
      </c>
      <c r="H79" s="13" t="s">
        <v>29</v>
      </c>
      <c r="I79" s="6" t="str">
        <f t="shared" si="4"/>
        <v>mount</v>
      </c>
    </row>
    <row r="80" spans="1:10" x14ac:dyDescent="0.25">
      <c r="A80">
        <v>1</v>
      </c>
      <c r="B80" s="4">
        <v>0.40532407407407406</v>
      </c>
      <c r="D80" s="5" t="s">
        <v>21</v>
      </c>
      <c r="E80" s="5" t="s">
        <v>16</v>
      </c>
      <c r="G80" s="6" t="str">
        <f t="shared" si="3"/>
        <v/>
      </c>
      <c r="H80" s="13" t="str">
        <f t="shared" si="5"/>
        <v/>
      </c>
      <c r="I80" s="6" t="str">
        <f t="shared" si="4"/>
        <v>mount</v>
      </c>
    </row>
    <row r="81" spans="1:10" x14ac:dyDescent="0.25">
      <c r="A81">
        <v>1</v>
      </c>
      <c r="B81" s="4">
        <v>0.41244212962962962</v>
      </c>
      <c r="D81" s="5" t="s">
        <v>18</v>
      </c>
      <c r="E81" s="5" t="s">
        <v>15</v>
      </c>
      <c r="G81" s="6" t="str">
        <f t="shared" si="3"/>
        <v/>
      </c>
      <c r="H81" s="13" t="str">
        <f t="shared" si="5"/>
        <v/>
      </c>
      <c r="I81" s="6" t="str">
        <f t="shared" si="4"/>
        <v>mount</v>
      </c>
    </row>
    <row r="82" spans="1:10" x14ac:dyDescent="0.25">
      <c r="A82">
        <v>1</v>
      </c>
      <c r="B82" s="4">
        <v>0.4128472222222222</v>
      </c>
      <c r="D82" s="5" t="s">
        <v>12</v>
      </c>
      <c r="E82" s="5" t="s">
        <v>27</v>
      </c>
      <c r="F82" s="6" t="s">
        <v>20</v>
      </c>
      <c r="G82" s="6" t="str">
        <f t="shared" si="3"/>
        <v>NA</v>
      </c>
      <c r="H82" s="13" t="s">
        <v>29</v>
      </c>
      <c r="I82" s="6" t="str">
        <f t="shared" si="4"/>
        <v>mount</v>
      </c>
    </row>
    <row r="83" spans="1:10" x14ac:dyDescent="0.25">
      <c r="A83">
        <v>1</v>
      </c>
      <c r="B83" s="4">
        <v>0.42341435185185183</v>
      </c>
      <c r="D83" s="5" t="s">
        <v>14</v>
      </c>
      <c r="E83" s="5" t="s">
        <v>21</v>
      </c>
      <c r="G83" s="6" t="str">
        <f t="shared" si="3"/>
        <v/>
      </c>
      <c r="H83" s="13" t="str">
        <f t="shared" si="5"/>
        <v/>
      </c>
      <c r="I83" s="6" t="str">
        <f t="shared" si="4"/>
        <v>mount</v>
      </c>
    </row>
    <row r="84" spans="1:10" x14ac:dyDescent="0.25">
      <c r="A84">
        <v>1</v>
      </c>
      <c r="B84" s="4">
        <v>0.42871527777777779</v>
      </c>
      <c r="D84" s="5" t="s">
        <v>12</v>
      </c>
      <c r="E84" s="5" t="s">
        <v>27</v>
      </c>
      <c r="F84" s="6" t="s">
        <v>20</v>
      </c>
      <c r="G84" s="6" t="str">
        <f t="shared" si="3"/>
        <v>NA</v>
      </c>
      <c r="H84" s="13" t="s">
        <v>29</v>
      </c>
      <c r="I84" s="6" t="str">
        <f t="shared" si="4"/>
        <v>mount</v>
      </c>
      <c r="J84" s="15"/>
    </row>
    <row r="85" spans="1:10" x14ac:dyDescent="0.25">
      <c r="A85">
        <v>1</v>
      </c>
      <c r="B85" s="4">
        <v>0.42925925925925923</v>
      </c>
      <c r="D85" s="5" t="s">
        <v>18</v>
      </c>
      <c r="E85" s="5" t="s">
        <v>23</v>
      </c>
      <c r="F85" s="6" t="s">
        <v>29</v>
      </c>
      <c r="G85" s="6" t="s">
        <v>20</v>
      </c>
      <c r="H85" s="13" t="s">
        <v>29</v>
      </c>
      <c r="I85" s="6" t="str">
        <f t="shared" si="4"/>
        <v>mount</v>
      </c>
    </row>
    <row r="86" spans="1:10" x14ac:dyDescent="0.25">
      <c r="A86">
        <v>1</v>
      </c>
      <c r="B86" s="4">
        <v>0.43</v>
      </c>
      <c r="D86" s="5" t="s">
        <v>18</v>
      </c>
      <c r="E86" s="5" t="s">
        <v>23</v>
      </c>
      <c r="F86" s="6" t="s">
        <v>20</v>
      </c>
      <c r="G86" s="6" t="str">
        <f t="shared" si="3"/>
        <v>NA</v>
      </c>
      <c r="H86" s="13" t="s">
        <v>29</v>
      </c>
      <c r="I86" s="6" t="str">
        <f t="shared" si="4"/>
        <v>mount</v>
      </c>
    </row>
    <row r="87" spans="1:10" x14ac:dyDescent="0.25">
      <c r="A87">
        <v>1</v>
      </c>
      <c r="B87" s="4">
        <v>0.43219907407407404</v>
      </c>
      <c r="C87" s="4"/>
      <c r="D87" s="5" t="s">
        <v>12</v>
      </c>
      <c r="E87" s="5" t="s">
        <v>27</v>
      </c>
      <c r="F87" s="6" t="s">
        <v>20</v>
      </c>
      <c r="G87" s="6" t="str">
        <f t="shared" si="3"/>
        <v>NA</v>
      </c>
      <c r="H87" s="13" t="s">
        <v>29</v>
      </c>
      <c r="I87" s="6" t="str">
        <f t="shared" si="4"/>
        <v>mount</v>
      </c>
    </row>
    <row r="88" spans="1:10" x14ac:dyDescent="0.25">
      <c r="A88">
        <v>1</v>
      </c>
      <c r="B88" s="4">
        <v>0.43496527777777777</v>
      </c>
      <c r="D88" s="5" t="s">
        <v>18</v>
      </c>
      <c r="E88" s="5" t="s">
        <v>23</v>
      </c>
      <c r="F88" s="6" t="s">
        <v>20</v>
      </c>
      <c r="G88" s="6" t="str">
        <f t="shared" si="3"/>
        <v>NA</v>
      </c>
      <c r="H88" s="13" t="s">
        <v>29</v>
      </c>
      <c r="I88" s="6" t="str">
        <f t="shared" si="4"/>
        <v>mount</v>
      </c>
    </row>
    <row r="89" spans="1:10" x14ac:dyDescent="0.25">
      <c r="A89">
        <v>1</v>
      </c>
      <c r="B89" s="4">
        <v>0.43546296296296294</v>
      </c>
      <c r="D89" s="5" t="s">
        <v>18</v>
      </c>
      <c r="E89" s="5" t="s">
        <v>23</v>
      </c>
      <c r="F89" s="6" t="s">
        <v>20</v>
      </c>
      <c r="G89" s="6" t="str">
        <f t="shared" si="3"/>
        <v>NA</v>
      </c>
      <c r="H89" s="13" t="s">
        <v>29</v>
      </c>
      <c r="I89" s="6" t="str">
        <f t="shared" si="4"/>
        <v>mount</v>
      </c>
    </row>
    <row r="90" spans="1:10" x14ac:dyDescent="0.25">
      <c r="A90">
        <v>1</v>
      </c>
      <c r="B90" s="4">
        <v>0.43625000000000003</v>
      </c>
      <c r="D90" s="5" t="s">
        <v>21</v>
      </c>
      <c r="E90" s="5" t="s">
        <v>16</v>
      </c>
      <c r="G90" s="6" t="str">
        <f t="shared" si="3"/>
        <v/>
      </c>
      <c r="H90" s="13" t="str">
        <f t="shared" si="5"/>
        <v/>
      </c>
      <c r="I90" s="6" t="str">
        <f t="shared" si="4"/>
        <v>mount</v>
      </c>
    </row>
    <row r="91" spans="1:10" x14ac:dyDescent="0.25">
      <c r="A91">
        <v>1</v>
      </c>
      <c r="B91" s="4">
        <v>0.43671296296296297</v>
      </c>
      <c r="C91" s="4"/>
      <c r="D91" s="5" t="s">
        <v>16</v>
      </c>
      <c r="E91" s="5" t="s">
        <v>27</v>
      </c>
      <c r="F91" s="6" t="s">
        <v>20</v>
      </c>
      <c r="G91" s="6" t="str">
        <f t="shared" si="3"/>
        <v>NA</v>
      </c>
      <c r="H91" s="13" t="s">
        <v>29</v>
      </c>
      <c r="I91" s="6" t="str">
        <f t="shared" si="4"/>
        <v>mount</v>
      </c>
    </row>
    <row r="92" spans="1:10" x14ac:dyDescent="0.25">
      <c r="A92">
        <v>1</v>
      </c>
      <c r="B92" s="4">
        <v>0.43763888888888891</v>
      </c>
      <c r="D92" s="5" t="s">
        <v>21</v>
      </c>
      <c r="E92" s="5" t="s">
        <v>12</v>
      </c>
      <c r="G92" s="6" t="str">
        <f t="shared" si="3"/>
        <v/>
      </c>
      <c r="H92" s="13" t="str">
        <f t="shared" si="5"/>
        <v/>
      </c>
      <c r="I92" s="6" t="str">
        <f t="shared" si="4"/>
        <v>mount</v>
      </c>
    </row>
    <row r="93" spans="1:10" x14ac:dyDescent="0.25">
      <c r="A93">
        <v>1</v>
      </c>
      <c r="B93" s="4">
        <v>0.44271990740740735</v>
      </c>
      <c r="D93" s="5" t="s">
        <v>18</v>
      </c>
      <c r="E93" s="5" t="s">
        <v>13</v>
      </c>
      <c r="G93" s="6" t="str">
        <f t="shared" si="3"/>
        <v/>
      </c>
      <c r="H93" s="13" t="str">
        <f t="shared" si="5"/>
        <v/>
      </c>
      <c r="I93" s="6" t="str">
        <f t="shared" si="4"/>
        <v>mount</v>
      </c>
    </row>
    <row r="94" spans="1:10" x14ac:dyDescent="0.25">
      <c r="A94">
        <v>1</v>
      </c>
      <c r="B94" s="4">
        <v>0.44440972222222225</v>
      </c>
      <c r="D94" s="5" t="s">
        <v>21</v>
      </c>
      <c r="E94" s="5" t="s">
        <v>12</v>
      </c>
      <c r="G94" s="6" t="str">
        <f t="shared" si="3"/>
        <v/>
      </c>
      <c r="H94" s="13" t="str">
        <f t="shared" si="5"/>
        <v/>
      </c>
      <c r="I94" s="6" t="str">
        <f t="shared" si="4"/>
        <v>mount</v>
      </c>
    </row>
    <row r="95" spans="1:10" x14ac:dyDescent="0.25">
      <c r="A95">
        <v>1</v>
      </c>
      <c r="B95" s="4">
        <v>0.44458333333333333</v>
      </c>
      <c r="D95" s="5" t="s">
        <v>18</v>
      </c>
      <c r="E95" s="5" t="s">
        <v>34</v>
      </c>
      <c r="F95" s="6" t="s">
        <v>20</v>
      </c>
      <c r="G95" s="6" t="str">
        <f t="shared" si="3"/>
        <v>NA</v>
      </c>
      <c r="H95" s="13" t="s">
        <v>29</v>
      </c>
      <c r="I95" s="6" t="str">
        <f t="shared" si="4"/>
        <v>mount</v>
      </c>
      <c r="J95" s="15"/>
    </row>
    <row r="96" spans="1:10" x14ac:dyDescent="0.25">
      <c r="A96">
        <v>1</v>
      </c>
      <c r="B96" s="4">
        <v>0.44495370370370368</v>
      </c>
      <c r="D96" s="5" t="s">
        <v>12</v>
      </c>
      <c r="E96" s="5" t="s">
        <v>21</v>
      </c>
      <c r="G96" s="6" t="str">
        <f t="shared" si="3"/>
        <v/>
      </c>
      <c r="H96" s="13" t="str">
        <f t="shared" si="5"/>
        <v/>
      </c>
      <c r="I96" s="6" t="str">
        <f t="shared" si="4"/>
        <v>mount</v>
      </c>
    </row>
    <row r="97" spans="1:10" x14ac:dyDescent="0.25">
      <c r="A97">
        <v>1</v>
      </c>
      <c r="B97" s="4">
        <v>0.44565972222222222</v>
      </c>
      <c r="D97" s="5" t="s">
        <v>14</v>
      </c>
      <c r="E97" s="5" t="s">
        <v>21</v>
      </c>
      <c r="G97" s="6" t="str">
        <f t="shared" si="3"/>
        <v/>
      </c>
      <c r="H97" s="13" t="str">
        <f t="shared" si="5"/>
        <v/>
      </c>
      <c r="I97" s="6" t="str">
        <f t="shared" si="4"/>
        <v>mount</v>
      </c>
    </row>
    <row r="98" spans="1:10" x14ac:dyDescent="0.25">
      <c r="A98">
        <v>1</v>
      </c>
      <c r="B98" s="4">
        <v>0.44997685185185188</v>
      </c>
      <c r="D98" s="5" t="s">
        <v>18</v>
      </c>
      <c r="E98" s="5" t="s">
        <v>34</v>
      </c>
      <c r="F98" s="6" t="s">
        <v>20</v>
      </c>
      <c r="G98" s="6" t="str">
        <f t="shared" si="3"/>
        <v>NA</v>
      </c>
      <c r="H98" s="13" t="s">
        <v>29</v>
      </c>
      <c r="I98" s="6" t="str">
        <f t="shared" si="4"/>
        <v>mount</v>
      </c>
    </row>
    <row r="99" spans="1:10" x14ac:dyDescent="0.25">
      <c r="A99">
        <v>1</v>
      </c>
      <c r="B99" s="4">
        <v>0.45153935185185184</v>
      </c>
      <c r="D99" s="5" t="s">
        <v>14</v>
      </c>
      <c r="E99" s="5" t="s">
        <v>17</v>
      </c>
      <c r="F99" s="6" t="s">
        <v>29</v>
      </c>
      <c r="G99" s="6" t="s">
        <v>29</v>
      </c>
      <c r="H99" s="13" t="str">
        <f t="shared" si="5"/>
        <v>NA</v>
      </c>
      <c r="I99" s="6" t="str">
        <f t="shared" si="4"/>
        <v>mount</v>
      </c>
    </row>
    <row r="100" spans="1:10" x14ac:dyDescent="0.25">
      <c r="A100">
        <v>1</v>
      </c>
      <c r="B100" s="4">
        <v>0.45231481481481484</v>
      </c>
      <c r="D100" s="5" t="s">
        <v>21</v>
      </c>
      <c r="E100" s="5" t="s">
        <v>14</v>
      </c>
      <c r="G100" s="6" t="str">
        <f t="shared" si="3"/>
        <v/>
      </c>
      <c r="H100" s="13" t="str">
        <f t="shared" si="5"/>
        <v/>
      </c>
      <c r="I100" s="6" t="str">
        <f t="shared" si="4"/>
        <v>mount</v>
      </c>
    </row>
    <row r="101" spans="1:10" x14ac:dyDescent="0.25">
      <c r="A101">
        <v>1</v>
      </c>
      <c r="B101" s="4">
        <v>0.46156250000000004</v>
      </c>
      <c r="D101" s="5" t="s">
        <v>21</v>
      </c>
      <c r="E101" s="5" t="s">
        <v>12</v>
      </c>
      <c r="G101" s="6" t="str">
        <f t="shared" si="3"/>
        <v/>
      </c>
      <c r="H101" s="13" t="str">
        <f t="shared" si="5"/>
        <v/>
      </c>
      <c r="I101" s="6" t="str">
        <f t="shared" si="4"/>
        <v>mount</v>
      </c>
    </row>
    <row r="102" spans="1:10" x14ac:dyDescent="0.25">
      <c r="A102">
        <v>1</v>
      </c>
      <c r="B102" s="4">
        <v>0.46216435185185184</v>
      </c>
      <c r="D102" s="5" t="s">
        <v>12</v>
      </c>
      <c r="E102" s="5" t="s">
        <v>21</v>
      </c>
      <c r="G102" s="6" t="str">
        <f t="shared" si="3"/>
        <v/>
      </c>
      <c r="H102" s="13" t="str">
        <f t="shared" si="5"/>
        <v/>
      </c>
      <c r="I102" s="6" t="str">
        <f t="shared" si="4"/>
        <v>mount</v>
      </c>
    </row>
    <row r="103" spans="1:10" x14ac:dyDescent="0.25">
      <c r="A103">
        <v>1</v>
      </c>
      <c r="B103" s="4">
        <v>0.4644328703703704</v>
      </c>
      <c r="D103" s="5" t="s">
        <v>18</v>
      </c>
      <c r="E103" s="5" t="s">
        <v>13</v>
      </c>
      <c r="G103" s="6" t="str">
        <f t="shared" si="3"/>
        <v/>
      </c>
      <c r="H103" s="13" t="str">
        <f t="shared" si="5"/>
        <v/>
      </c>
      <c r="I103" s="6" t="str">
        <f t="shared" si="4"/>
        <v>mount</v>
      </c>
    </row>
    <row r="104" spans="1:10" x14ac:dyDescent="0.25">
      <c r="A104">
        <v>1</v>
      </c>
      <c r="B104" s="4">
        <v>0.46471064814814816</v>
      </c>
      <c r="D104" s="5" t="s">
        <v>18</v>
      </c>
      <c r="E104" s="5" t="s">
        <v>13</v>
      </c>
      <c r="G104" s="6" t="str">
        <f t="shared" si="3"/>
        <v/>
      </c>
      <c r="H104" s="13" t="str">
        <f t="shared" si="5"/>
        <v/>
      </c>
      <c r="I104" s="6" t="str">
        <f t="shared" si="4"/>
        <v>mount</v>
      </c>
    </row>
    <row r="105" spans="1:10" x14ac:dyDescent="0.25">
      <c r="A105">
        <v>1</v>
      </c>
      <c r="B105" s="4">
        <v>0.46832175925925923</v>
      </c>
      <c r="D105" s="5" t="s">
        <v>21</v>
      </c>
      <c r="E105" s="5" t="s">
        <v>12</v>
      </c>
      <c r="G105" s="6" t="str">
        <f t="shared" si="3"/>
        <v/>
      </c>
      <c r="H105" s="13" t="str">
        <f t="shared" si="5"/>
        <v/>
      </c>
      <c r="I105" s="6" t="str">
        <f t="shared" si="4"/>
        <v>mount</v>
      </c>
    </row>
    <row r="106" spans="1:10" x14ac:dyDescent="0.25">
      <c r="A106">
        <v>1</v>
      </c>
      <c r="B106" s="4">
        <v>0.46854166666666663</v>
      </c>
      <c r="D106" s="5" t="s">
        <v>21</v>
      </c>
      <c r="E106" s="5" t="s">
        <v>12</v>
      </c>
      <c r="G106" s="6" t="str">
        <f t="shared" si="3"/>
        <v/>
      </c>
      <c r="H106" s="13" t="str">
        <f t="shared" si="5"/>
        <v/>
      </c>
      <c r="I106" s="6" t="str">
        <f t="shared" si="4"/>
        <v>mount</v>
      </c>
    </row>
    <row r="107" spans="1:10" x14ac:dyDescent="0.25">
      <c r="A107">
        <v>1</v>
      </c>
      <c r="B107" s="4">
        <v>0.47423611111111108</v>
      </c>
      <c r="D107" s="5" t="s">
        <v>16</v>
      </c>
      <c r="E107" s="5" t="s">
        <v>21</v>
      </c>
      <c r="G107" s="6" t="str">
        <f t="shared" si="3"/>
        <v/>
      </c>
      <c r="H107" s="13" t="str">
        <f t="shared" si="5"/>
        <v/>
      </c>
      <c r="I107" s="6" t="str">
        <f t="shared" si="4"/>
        <v>mount</v>
      </c>
    </row>
    <row r="108" spans="1:10" x14ac:dyDescent="0.25">
      <c r="A108">
        <v>1</v>
      </c>
      <c r="B108" s="4">
        <v>0.47450231481481481</v>
      </c>
      <c r="D108" s="5" t="s">
        <v>12</v>
      </c>
      <c r="E108" s="5" t="s">
        <v>21</v>
      </c>
      <c r="G108" s="6" t="str">
        <f t="shared" si="3"/>
        <v/>
      </c>
      <c r="H108" s="13" t="str">
        <f t="shared" si="5"/>
        <v/>
      </c>
      <c r="I108" s="6" t="str">
        <f t="shared" si="4"/>
        <v>mount</v>
      </c>
    </row>
    <row r="109" spans="1:10" x14ac:dyDescent="0.25">
      <c r="A109">
        <v>1</v>
      </c>
      <c r="B109" s="4">
        <v>0.47484953703703708</v>
      </c>
      <c r="D109" s="5" t="s">
        <v>18</v>
      </c>
      <c r="E109" s="5" t="s">
        <v>13</v>
      </c>
      <c r="G109" s="6" t="str">
        <f t="shared" si="3"/>
        <v/>
      </c>
      <c r="H109" s="13" t="str">
        <f t="shared" si="5"/>
        <v/>
      </c>
      <c r="I109" s="6" t="str">
        <f t="shared" si="4"/>
        <v>mount</v>
      </c>
      <c r="J109" s="15"/>
    </row>
    <row r="110" spans="1:10" x14ac:dyDescent="0.25">
      <c r="A110">
        <v>1</v>
      </c>
      <c r="B110" s="4">
        <v>0.47520833333333329</v>
      </c>
      <c r="D110" s="5" t="s">
        <v>18</v>
      </c>
      <c r="E110" s="5" t="s">
        <v>23</v>
      </c>
      <c r="F110" s="6" t="s">
        <v>20</v>
      </c>
      <c r="G110" s="6" t="str">
        <f t="shared" si="3"/>
        <v>NA</v>
      </c>
      <c r="H110" s="13" t="s">
        <v>29</v>
      </c>
      <c r="I110" s="6" t="str">
        <f t="shared" si="4"/>
        <v>mount</v>
      </c>
    </row>
    <row r="111" spans="1:10" x14ac:dyDescent="0.25">
      <c r="A111">
        <v>1</v>
      </c>
      <c r="B111" s="4">
        <v>0.47567129629629629</v>
      </c>
      <c r="D111" s="5" t="s">
        <v>18</v>
      </c>
      <c r="E111" s="5" t="s">
        <v>23</v>
      </c>
      <c r="F111" s="6" t="s">
        <v>20</v>
      </c>
      <c r="G111" s="6" t="str">
        <f t="shared" si="3"/>
        <v>NA</v>
      </c>
      <c r="H111" s="13" t="s">
        <v>29</v>
      </c>
      <c r="I111" s="6" t="str">
        <f t="shared" si="4"/>
        <v>mount</v>
      </c>
    </row>
    <row r="112" spans="1:10" x14ac:dyDescent="0.25">
      <c r="A112">
        <v>1</v>
      </c>
      <c r="B112" s="4">
        <v>0.47658564814814813</v>
      </c>
      <c r="D112" s="5" t="s">
        <v>12</v>
      </c>
      <c r="E112" s="5" t="s">
        <v>21</v>
      </c>
      <c r="G112" s="6" t="str">
        <f t="shared" si="3"/>
        <v/>
      </c>
      <c r="H112" s="13" t="str">
        <f t="shared" si="5"/>
        <v/>
      </c>
      <c r="I112" s="6" t="str">
        <f t="shared" si="4"/>
        <v>mount</v>
      </c>
      <c r="J112" s="15"/>
    </row>
    <row r="113" spans="1:10" x14ac:dyDescent="0.25">
      <c r="A113">
        <v>1</v>
      </c>
      <c r="B113" s="4">
        <v>0.47863425925925923</v>
      </c>
      <c r="D113" s="5" t="s">
        <v>16</v>
      </c>
      <c r="E113" s="5" t="s">
        <v>14</v>
      </c>
      <c r="G113" s="6" t="str">
        <f t="shared" si="3"/>
        <v/>
      </c>
      <c r="H113" s="13" t="str">
        <f t="shared" si="5"/>
        <v/>
      </c>
      <c r="I113" s="6" t="str">
        <f t="shared" si="4"/>
        <v>mount</v>
      </c>
      <c r="J113" s="15"/>
    </row>
    <row r="114" spans="1:10" x14ac:dyDescent="0.25">
      <c r="A114">
        <v>1</v>
      </c>
      <c r="B114" s="4">
        <v>0.47958333333333331</v>
      </c>
      <c r="D114" s="5" t="s">
        <v>21</v>
      </c>
      <c r="E114" s="5" t="s">
        <v>12</v>
      </c>
      <c r="G114" s="6" t="str">
        <f t="shared" si="3"/>
        <v/>
      </c>
      <c r="H114" s="13" t="str">
        <f t="shared" si="5"/>
        <v/>
      </c>
      <c r="I114" s="6" t="str">
        <f t="shared" si="4"/>
        <v>mount</v>
      </c>
    </row>
    <row r="115" spans="1:10" x14ac:dyDescent="0.25">
      <c r="A115">
        <v>1</v>
      </c>
      <c r="B115" s="4">
        <v>0.48069444444444448</v>
      </c>
      <c r="D115" s="5" t="s">
        <v>21</v>
      </c>
      <c r="E115" s="5" t="s">
        <v>12</v>
      </c>
      <c r="G115" s="6" t="str">
        <f t="shared" si="3"/>
        <v/>
      </c>
      <c r="H115" s="13" t="str">
        <f t="shared" si="5"/>
        <v/>
      </c>
      <c r="I115" s="6" t="str">
        <f t="shared" si="4"/>
        <v>mount</v>
      </c>
    </row>
    <row r="116" spans="1:10" x14ac:dyDescent="0.25">
      <c r="A116">
        <v>1</v>
      </c>
      <c r="B116" s="4">
        <v>0.4808912037037037</v>
      </c>
      <c r="C116" s="4"/>
      <c r="D116" s="5" t="s">
        <v>12</v>
      </c>
      <c r="E116" s="5" t="s">
        <v>27</v>
      </c>
      <c r="F116" s="6" t="s">
        <v>29</v>
      </c>
      <c r="G116" s="6" t="s">
        <v>20</v>
      </c>
      <c r="H116" s="13" t="s">
        <v>29</v>
      </c>
      <c r="I116" s="6" t="str">
        <f t="shared" si="4"/>
        <v>mount</v>
      </c>
    </row>
    <row r="117" spans="1:10" x14ac:dyDescent="0.25">
      <c r="A117">
        <v>1</v>
      </c>
      <c r="B117" s="4">
        <v>0.48322916666666665</v>
      </c>
      <c r="D117" s="5" t="s">
        <v>16</v>
      </c>
      <c r="E117" s="5" t="s">
        <v>14</v>
      </c>
      <c r="G117" s="6" t="str">
        <f t="shared" si="3"/>
        <v/>
      </c>
      <c r="H117" s="13" t="str">
        <f t="shared" si="5"/>
        <v/>
      </c>
      <c r="I117" s="6" t="str">
        <f t="shared" si="4"/>
        <v>mount</v>
      </c>
    </row>
    <row r="118" spans="1:10" x14ac:dyDescent="0.25">
      <c r="A118">
        <v>1</v>
      </c>
      <c r="B118" s="4">
        <v>0.48561342592592593</v>
      </c>
      <c r="D118" s="5" t="s">
        <v>18</v>
      </c>
      <c r="E118" s="5" t="s">
        <v>23</v>
      </c>
      <c r="F118" s="6" t="s">
        <v>20</v>
      </c>
      <c r="G118" s="6" t="str">
        <f t="shared" si="3"/>
        <v>NA</v>
      </c>
      <c r="H118" s="13" t="s">
        <v>29</v>
      </c>
      <c r="I118" s="6" t="str">
        <f t="shared" si="4"/>
        <v>mount</v>
      </c>
    </row>
    <row r="119" spans="1:10" x14ac:dyDescent="0.25">
      <c r="A119">
        <v>1</v>
      </c>
      <c r="B119" s="4">
        <v>0.48773148148148149</v>
      </c>
      <c r="C119" s="4">
        <v>0.48819444444444443</v>
      </c>
      <c r="D119" s="5" t="s">
        <v>14</v>
      </c>
      <c r="E119" s="5" t="s">
        <v>17</v>
      </c>
      <c r="F119" s="6" t="s">
        <v>20</v>
      </c>
      <c r="G119" s="6" t="str">
        <f t="shared" si="3"/>
        <v>NA</v>
      </c>
      <c r="H119" s="13" t="s">
        <v>20</v>
      </c>
      <c r="I119" s="6" t="str">
        <f t="shared" si="4"/>
        <v>insemination</v>
      </c>
      <c r="J119" s="15"/>
    </row>
    <row r="120" spans="1:10" x14ac:dyDescent="0.25">
      <c r="A120">
        <v>1</v>
      </c>
      <c r="B120" s="4">
        <v>0.48957175925925928</v>
      </c>
      <c r="D120" s="5" t="s">
        <v>15</v>
      </c>
      <c r="E120" s="5" t="s">
        <v>23</v>
      </c>
      <c r="F120" s="6" t="s">
        <v>20</v>
      </c>
      <c r="G120" s="6" t="str">
        <f t="shared" si="3"/>
        <v>NA</v>
      </c>
      <c r="H120" s="13" t="s">
        <v>29</v>
      </c>
      <c r="I120" s="6" t="str">
        <f t="shared" si="4"/>
        <v>mount</v>
      </c>
    </row>
    <row r="121" spans="1:10" x14ac:dyDescent="0.25">
      <c r="A121">
        <v>1</v>
      </c>
      <c r="B121" s="4">
        <v>0.49041666666666667</v>
      </c>
      <c r="D121" s="5" t="s">
        <v>14</v>
      </c>
      <c r="E121" s="5" t="s">
        <v>16</v>
      </c>
      <c r="G121" s="6" t="str">
        <f t="shared" si="3"/>
        <v/>
      </c>
      <c r="H121" s="13" t="str">
        <f t="shared" si="5"/>
        <v/>
      </c>
      <c r="I121" s="6" t="str">
        <f t="shared" si="4"/>
        <v>mount</v>
      </c>
    </row>
    <row r="122" spans="1:10" x14ac:dyDescent="0.25">
      <c r="A122">
        <v>1</v>
      </c>
      <c r="B122" s="4">
        <v>0.49093750000000003</v>
      </c>
      <c r="D122" s="5" t="s">
        <v>15</v>
      </c>
      <c r="E122" s="5" t="s">
        <v>23</v>
      </c>
      <c r="F122" s="6" t="s">
        <v>20</v>
      </c>
      <c r="G122" s="6" t="str">
        <f t="shared" si="3"/>
        <v>NA</v>
      </c>
      <c r="H122" s="13" t="s">
        <v>29</v>
      </c>
      <c r="I122" s="6" t="str">
        <f t="shared" si="4"/>
        <v>mount</v>
      </c>
    </row>
    <row r="123" spans="1:10" x14ac:dyDescent="0.25">
      <c r="A123">
        <v>1</v>
      </c>
      <c r="B123" s="4">
        <v>0.49344907407407407</v>
      </c>
      <c r="C123" s="4">
        <v>0.49366898148148147</v>
      </c>
      <c r="D123" s="5" t="s">
        <v>22</v>
      </c>
      <c r="E123" s="5" t="s">
        <v>23</v>
      </c>
      <c r="F123" s="6" t="s">
        <v>20</v>
      </c>
      <c r="G123" s="6" t="str">
        <f t="shared" si="3"/>
        <v>NA</v>
      </c>
      <c r="H123" s="13" t="s">
        <v>29</v>
      </c>
      <c r="I123" s="6" t="str">
        <f t="shared" si="4"/>
        <v>mount</v>
      </c>
    </row>
    <row r="124" spans="1:10" x14ac:dyDescent="0.25">
      <c r="A124">
        <v>1</v>
      </c>
      <c r="B124" s="4">
        <v>0.49465277777777777</v>
      </c>
      <c r="D124" s="5" t="s">
        <v>15</v>
      </c>
      <c r="E124" s="5" t="s">
        <v>22</v>
      </c>
      <c r="G124" s="6" t="str">
        <f t="shared" si="3"/>
        <v/>
      </c>
      <c r="H124" s="13" t="str">
        <f t="shared" si="5"/>
        <v/>
      </c>
      <c r="I124" s="6" t="str">
        <f t="shared" si="4"/>
        <v>mount</v>
      </c>
    </row>
    <row r="125" spans="1:10" x14ac:dyDescent="0.25">
      <c r="A125">
        <v>1</v>
      </c>
      <c r="B125" s="4">
        <v>0.49479166666666669</v>
      </c>
      <c r="D125" s="5" t="s">
        <v>22</v>
      </c>
      <c r="E125" s="5" t="s">
        <v>15</v>
      </c>
      <c r="G125" s="6" t="str">
        <f t="shared" si="3"/>
        <v/>
      </c>
      <c r="H125" s="13" t="str">
        <f t="shared" si="5"/>
        <v/>
      </c>
      <c r="I125" s="6" t="str">
        <f t="shared" si="4"/>
        <v>mount</v>
      </c>
    </row>
    <row r="126" spans="1:10" x14ac:dyDescent="0.25">
      <c r="A126">
        <v>1</v>
      </c>
      <c r="B126" s="4">
        <v>0.49526620370370367</v>
      </c>
      <c r="D126" s="5" t="s">
        <v>22</v>
      </c>
      <c r="E126" s="5" t="s">
        <v>15</v>
      </c>
      <c r="G126" s="6" t="str">
        <f t="shared" si="3"/>
        <v/>
      </c>
      <c r="H126" s="13" t="str">
        <f t="shared" si="5"/>
        <v/>
      </c>
      <c r="I126" s="6" t="str">
        <f t="shared" si="4"/>
        <v>mount</v>
      </c>
    </row>
    <row r="127" spans="1:10" x14ac:dyDescent="0.25">
      <c r="A127">
        <v>1</v>
      </c>
      <c r="B127" s="4">
        <v>0.50185185185185188</v>
      </c>
      <c r="D127" s="5" t="s">
        <v>21</v>
      </c>
      <c r="E127" s="5" t="s">
        <v>12</v>
      </c>
      <c r="G127" s="6" t="str">
        <f t="shared" si="3"/>
        <v/>
      </c>
      <c r="H127" s="13" t="str">
        <f t="shared" si="5"/>
        <v/>
      </c>
      <c r="I127" s="6" t="str">
        <f t="shared" si="4"/>
        <v>mount</v>
      </c>
    </row>
    <row r="128" spans="1:10" x14ac:dyDescent="0.25">
      <c r="A128">
        <v>1</v>
      </c>
      <c r="B128" s="4">
        <v>0.50193287037037038</v>
      </c>
      <c r="D128" s="5" t="s">
        <v>14</v>
      </c>
      <c r="E128" s="5" t="s">
        <v>21</v>
      </c>
      <c r="G128" s="6" t="str">
        <f t="shared" si="3"/>
        <v/>
      </c>
      <c r="H128" s="13" t="str">
        <f t="shared" si="5"/>
        <v/>
      </c>
      <c r="I128" s="6" t="str">
        <f t="shared" si="4"/>
        <v>mount</v>
      </c>
    </row>
    <row r="129" spans="1:10" x14ac:dyDescent="0.25">
      <c r="A129">
        <v>1</v>
      </c>
      <c r="B129" s="4">
        <v>0.51122685185185179</v>
      </c>
      <c r="D129" s="5" t="s">
        <v>16</v>
      </c>
      <c r="E129" s="5" t="s">
        <v>12</v>
      </c>
      <c r="G129" s="6" t="str">
        <f t="shared" si="3"/>
        <v/>
      </c>
      <c r="H129" s="13" t="str">
        <f t="shared" si="5"/>
        <v/>
      </c>
      <c r="I129" s="6" t="str">
        <f t="shared" si="4"/>
        <v>mount</v>
      </c>
    </row>
    <row r="130" spans="1:10" x14ac:dyDescent="0.25">
      <c r="A130">
        <v>1</v>
      </c>
      <c r="B130" s="4">
        <v>0.52527777777777784</v>
      </c>
      <c r="D130" s="5" t="s">
        <v>16</v>
      </c>
      <c r="E130" s="5" t="s">
        <v>14</v>
      </c>
      <c r="G130" s="6" t="str">
        <f t="shared" si="3"/>
        <v/>
      </c>
      <c r="H130" s="13" t="str">
        <f t="shared" si="5"/>
        <v/>
      </c>
      <c r="I130" s="6" t="str">
        <f t="shared" si="4"/>
        <v>mount</v>
      </c>
    </row>
    <row r="131" spans="1:10" x14ac:dyDescent="0.25">
      <c r="A131">
        <v>1</v>
      </c>
      <c r="B131" s="4">
        <v>0.52537037037037038</v>
      </c>
      <c r="D131" s="5" t="s">
        <v>12</v>
      </c>
      <c r="E131" s="5" t="s">
        <v>16</v>
      </c>
      <c r="G131" s="6" t="str">
        <f t="shared" ref="G131:G194" si="6">IF(F131 = "n", "NA", "")</f>
        <v/>
      </c>
      <c r="H131" s="13" t="str">
        <f t="shared" ref="H131:H193" si="7">IF(G131 = "y", "NA", "")</f>
        <v/>
      </c>
      <c r="I131" s="6" t="str">
        <f t="shared" ref="I131:I194" si="8">IF(H131="n", "insemination", "mount")</f>
        <v>mount</v>
      </c>
    </row>
    <row r="132" spans="1:10" x14ac:dyDescent="0.25">
      <c r="A132">
        <v>1</v>
      </c>
      <c r="B132" s="4">
        <v>0.52549768518518525</v>
      </c>
      <c r="D132" s="5" t="s">
        <v>21</v>
      </c>
      <c r="E132" s="5" t="s">
        <v>17</v>
      </c>
      <c r="F132" s="6" t="s">
        <v>20</v>
      </c>
      <c r="G132" s="6" t="str">
        <f t="shared" si="6"/>
        <v>NA</v>
      </c>
      <c r="H132" s="13" t="s">
        <v>29</v>
      </c>
      <c r="I132" s="6" t="str">
        <f t="shared" si="8"/>
        <v>mount</v>
      </c>
    </row>
    <row r="133" spans="1:10" x14ac:dyDescent="0.25">
      <c r="A133">
        <v>1</v>
      </c>
      <c r="B133" s="4">
        <v>0.5264699074074074</v>
      </c>
      <c r="D133" s="5" t="s">
        <v>21</v>
      </c>
      <c r="E133" s="5" t="s">
        <v>12</v>
      </c>
      <c r="G133" s="6" t="str">
        <f t="shared" si="6"/>
        <v/>
      </c>
      <c r="H133" s="13" t="str">
        <f t="shared" si="7"/>
        <v/>
      </c>
      <c r="I133" s="6" t="str">
        <f t="shared" si="8"/>
        <v>mount</v>
      </c>
    </row>
    <row r="134" spans="1:10" x14ac:dyDescent="0.25">
      <c r="A134">
        <v>1</v>
      </c>
      <c r="B134" s="4">
        <v>0.52667824074074077</v>
      </c>
      <c r="D134" s="5" t="s">
        <v>21</v>
      </c>
      <c r="E134" s="5" t="s">
        <v>14</v>
      </c>
      <c r="G134" s="6" t="str">
        <f t="shared" si="6"/>
        <v/>
      </c>
      <c r="H134" s="13" t="str">
        <f t="shared" si="7"/>
        <v/>
      </c>
      <c r="I134" s="6" t="str">
        <f t="shared" si="8"/>
        <v>mount</v>
      </c>
    </row>
    <row r="135" spans="1:10" x14ac:dyDescent="0.25">
      <c r="A135">
        <v>1</v>
      </c>
      <c r="B135" s="4">
        <v>0.52673611111111118</v>
      </c>
      <c r="D135" s="5" t="s">
        <v>21</v>
      </c>
      <c r="E135" s="5" t="s">
        <v>12</v>
      </c>
      <c r="G135" s="6" t="str">
        <f t="shared" si="6"/>
        <v/>
      </c>
      <c r="H135" s="13" t="str">
        <f t="shared" si="7"/>
        <v/>
      </c>
      <c r="I135" s="6" t="str">
        <f t="shared" si="8"/>
        <v>mount</v>
      </c>
    </row>
    <row r="136" spans="1:10" x14ac:dyDescent="0.25">
      <c r="A136">
        <v>1</v>
      </c>
      <c r="B136" s="4">
        <v>0.53077546296296296</v>
      </c>
      <c r="D136" s="5" t="s">
        <v>21</v>
      </c>
      <c r="E136" s="5" t="s">
        <v>14</v>
      </c>
      <c r="G136" s="6" t="str">
        <f t="shared" si="6"/>
        <v/>
      </c>
      <c r="H136" s="13" t="str">
        <f t="shared" si="7"/>
        <v/>
      </c>
      <c r="I136" s="6" t="str">
        <f t="shared" si="8"/>
        <v>mount</v>
      </c>
    </row>
    <row r="137" spans="1:10" x14ac:dyDescent="0.25">
      <c r="A137">
        <v>1</v>
      </c>
      <c r="B137" s="4">
        <v>0.53228009259259257</v>
      </c>
      <c r="D137" s="5" t="s">
        <v>14</v>
      </c>
      <c r="E137" s="5" t="s">
        <v>21</v>
      </c>
      <c r="G137" s="6" t="str">
        <f t="shared" si="6"/>
        <v/>
      </c>
      <c r="H137" s="13" t="str">
        <f t="shared" si="7"/>
        <v/>
      </c>
      <c r="I137" s="6" t="str">
        <f t="shared" si="8"/>
        <v>mount</v>
      </c>
    </row>
    <row r="138" spans="1:10" x14ac:dyDescent="0.25">
      <c r="A138">
        <v>1</v>
      </c>
      <c r="B138" s="4">
        <v>0.53479166666666667</v>
      </c>
      <c r="D138" s="5" t="s">
        <v>16</v>
      </c>
      <c r="E138" s="5" t="s">
        <v>12</v>
      </c>
      <c r="G138" s="6" t="str">
        <f t="shared" si="6"/>
        <v/>
      </c>
      <c r="H138" s="13" t="str">
        <f t="shared" si="7"/>
        <v/>
      </c>
      <c r="I138" s="6" t="str">
        <f t="shared" si="8"/>
        <v>mount</v>
      </c>
      <c r="J138" s="15"/>
    </row>
    <row r="139" spans="1:10" x14ac:dyDescent="0.25">
      <c r="A139">
        <v>1</v>
      </c>
      <c r="B139" s="4">
        <v>0.5370138888888889</v>
      </c>
      <c r="D139" s="5" t="s">
        <v>15</v>
      </c>
      <c r="E139" s="5" t="s">
        <v>35</v>
      </c>
      <c r="F139" s="6" t="s">
        <v>20</v>
      </c>
      <c r="G139" s="6" t="str">
        <f t="shared" si="6"/>
        <v>NA</v>
      </c>
      <c r="H139" s="13" t="s">
        <v>29</v>
      </c>
      <c r="I139" s="6" t="str">
        <f t="shared" si="8"/>
        <v>mount</v>
      </c>
    </row>
    <row r="140" spans="1:10" x14ac:dyDescent="0.25">
      <c r="A140">
        <v>1</v>
      </c>
      <c r="B140" s="4">
        <v>0.53821759259259261</v>
      </c>
      <c r="D140" s="5" t="s">
        <v>15</v>
      </c>
      <c r="E140" s="5" t="s">
        <v>27</v>
      </c>
      <c r="F140" s="6" t="s">
        <v>20</v>
      </c>
      <c r="G140" s="6" t="str">
        <f t="shared" si="6"/>
        <v>NA</v>
      </c>
      <c r="H140" s="13" t="s">
        <v>29</v>
      </c>
      <c r="I140" s="6" t="str">
        <f t="shared" si="8"/>
        <v>mount</v>
      </c>
    </row>
    <row r="141" spans="1:10" x14ac:dyDescent="0.25">
      <c r="A141">
        <v>1</v>
      </c>
      <c r="B141" s="4">
        <v>0.54353009259259266</v>
      </c>
      <c r="D141" s="5" t="s">
        <v>15</v>
      </c>
      <c r="E141" s="5" t="s">
        <v>27</v>
      </c>
      <c r="F141" s="6" t="s">
        <v>20</v>
      </c>
      <c r="G141" s="6" t="str">
        <f t="shared" si="6"/>
        <v>NA</v>
      </c>
      <c r="H141" s="13" t="s">
        <v>29</v>
      </c>
      <c r="I141" s="6" t="str">
        <f t="shared" si="8"/>
        <v>mount</v>
      </c>
    </row>
    <row r="142" spans="1:10" x14ac:dyDescent="0.25">
      <c r="A142">
        <v>1</v>
      </c>
      <c r="B142" s="4">
        <v>0.54375000000000007</v>
      </c>
      <c r="D142" s="5" t="s">
        <v>15</v>
      </c>
      <c r="E142" s="5" t="s">
        <v>27</v>
      </c>
      <c r="F142" s="6" t="s">
        <v>29</v>
      </c>
      <c r="G142" s="6" t="s">
        <v>29</v>
      </c>
      <c r="H142" s="13" t="str">
        <f t="shared" si="7"/>
        <v>NA</v>
      </c>
      <c r="I142" s="6" t="str">
        <f t="shared" si="8"/>
        <v>mount</v>
      </c>
    </row>
    <row r="143" spans="1:10" x14ac:dyDescent="0.25">
      <c r="A143">
        <v>1</v>
      </c>
      <c r="B143" s="4">
        <v>0.54439814814814813</v>
      </c>
      <c r="D143" s="5" t="s">
        <v>15</v>
      </c>
      <c r="E143" s="5" t="s">
        <v>27</v>
      </c>
      <c r="F143" s="6" t="s">
        <v>20</v>
      </c>
      <c r="G143" s="6" t="str">
        <f t="shared" si="6"/>
        <v>NA</v>
      </c>
      <c r="H143" s="13" t="s">
        <v>29</v>
      </c>
      <c r="I143" s="6" t="str">
        <f t="shared" si="8"/>
        <v>mount</v>
      </c>
    </row>
    <row r="144" spans="1:10" x14ac:dyDescent="0.25">
      <c r="A144">
        <v>1</v>
      </c>
      <c r="B144" s="4">
        <v>0.54459490740740735</v>
      </c>
      <c r="D144" s="5" t="s">
        <v>18</v>
      </c>
      <c r="E144" s="5" t="s">
        <v>15</v>
      </c>
      <c r="G144" s="6" t="str">
        <f t="shared" si="6"/>
        <v/>
      </c>
      <c r="H144" s="13" t="str">
        <f t="shared" si="7"/>
        <v/>
      </c>
      <c r="I144" s="6" t="str">
        <f t="shared" si="8"/>
        <v>mount</v>
      </c>
    </row>
    <row r="145" spans="1:10" x14ac:dyDescent="0.25">
      <c r="A145">
        <v>1</v>
      </c>
      <c r="B145" s="4">
        <v>0.54467592592592595</v>
      </c>
      <c r="D145" s="5" t="s">
        <v>13</v>
      </c>
      <c r="E145" s="5" t="s">
        <v>18</v>
      </c>
      <c r="G145" s="6" t="str">
        <f t="shared" si="6"/>
        <v/>
      </c>
      <c r="H145" s="13" t="str">
        <f t="shared" si="7"/>
        <v/>
      </c>
      <c r="I145" s="6" t="str">
        <f t="shared" si="8"/>
        <v>mount</v>
      </c>
    </row>
    <row r="146" spans="1:10" x14ac:dyDescent="0.25">
      <c r="A146">
        <v>1</v>
      </c>
      <c r="B146" s="4">
        <v>0.54480324074074071</v>
      </c>
      <c r="D146" s="5" t="s">
        <v>18</v>
      </c>
      <c r="E146" s="5" t="s">
        <v>15</v>
      </c>
      <c r="G146" s="6" t="str">
        <f t="shared" si="6"/>
        <v/>
      </c>
      <c r="H146" s="13" t="str">
        <f t="shared" si="7"/>
        <v/>
      </c>
      <c r="I146" s="6" t="str">
        <f t="shared" si="8"/>
        <v>mount</v>
      </c>
    </row>
    <row r="147" spans="1:10" x14ac:dyDescent="0.25">
      <c r="A147">
        <v>1</v>
      </c>
      <c r="B147" s="4">
        <v>0.54583333333333328</v>
      </c>
      <c r="D147" s="5" t="s">
        <v>15</v>
      </c>
      <c r="E147" s="5" t="s">
        <v>27</v>
      </c>
      <c r="F147" s="6" t="s">
        <v>20</v>
      </c>
      <c r="G147" s="6" t="str">
        <f t="shared" si="6"/>
        <v>NA</v>
      </c>
      <c r="H147" s="13" t="s">
        <v>29</v>
      </c>
      <c r="I147" s="6" t="str">
        <f t="shared" si="8"/>
        <v>mount</v>
      </c>
    </row>
    <row r="148" spans="1:10" x14ac:dyDescent="0.25">
      <c r="A148">
        <v>1</v>
      </c>
      <c r="B148" s="4">
        <v>0.54648148148148146</v>
      </c>
      <c r="D148" s="5" t="s">
        <v>15</v>
      </c>
      <c r="E148" s="5" t="s">
        <v>27</v>
      </c>
      <c r="F148" s="6" t="s">
        <v>20</v>
      </c>
      <c r="G148" s="6" t="str">
        <f t="shared" si="6"/>
        <v>NA</v>
      </c>
      <c r="H148" s="13" t="s">
        <v>29</v>
      </c>
      <c r="I148" s="6" t="str">
        <f t="shared" si="8"/>
        <v>mount</v>
      </c>
      <c r="J148" s="15"/>
    </row>
    <row r="149" spans="1:10" x14ac:dyDescent="0.25">
      <c r="A149">
        <v>1</v>
      </c>
      <c r="B149" s="4">
        <v>0.5473958333333333</v>
      </c>
      <c r="D149" s="5" t="s">
        <v>22</v>
      </c>
      <c r="E149" s="5" t="s">
        <v>15</v>
      </c>
      <c r="G149" s="6" t="str">
        <f t="shared" si="6"/>
        <v/>
      </c>
      <c r="H149" s="13" t="str">
        <f t="shared" si="7"/>
        <v/>
      </c>
      <c r="I149" s="6" t="str">
        <f t="shared" si="8"/>
        <v>mount</v>
      </c>
      <c r="J149" s="15"/>
    </row>
    <row r="150" spans="1:10" x14ac:dyDescent="0.25">
      <c r="A150">
        <v>1</v>
      </c>
      <c r="B150" s="4">
        <v>0.54773148148148143</v>
      </c>
      <c r="C150" s="4">
        <v>0.54819444444444443</v>
      </c>
      <c r="D150" s="5" t="s">
        <v>21</v>
      </c>
      <c r="E150" s="5" t="s">
        <v>27</v>
      </c>
      <c r="F150" s="6" t="s">
        <v>20</v>
      </c>
      <c r="G150" s="6" t="str">
        <f t="shared" si="6"/>
        <v>NA</v>
      </c>
      <c r="H150" s="13" t="s">
        <v>20</v>
      </c>
      <c r="I150" s="6" t="str">
        <f t="shared" si="8"/>
        <v>insemination</v>
      </c>
      <c r="J150" s="15"/>
    </row>
    <row r="151" spans="1:10" x14ac:dyDescent="0.25">
      <c r="A151">
        <v>1</v>
      </c>
      <c r="B151" s="4">
        <v>0.54841435185185183</v>
      </c>
      <c r="D151" s="5" t="s">
        <v>16</v>
      </c>
      <c r="E151" s="5" t="s">
        <v>21</v>
      </c>
      <c r="G151" s="6" t="str">
        <f t="shared" si="6"/>
        <v/>
      </c>
      <c r="H151" s="13" t="str">
        <f t="shared" si="7"/>
        <v/>
      </c>
      <c r="I151" s="6" t="str">
        <f t="shared" si="8"/>
        <v>mount</v>
      </c>
    </row>
    <row r="152" spans="1:10" x14ac:dyDescent="0.25">
      <c r="A152">
        <v>1</v>
      </c>
      <c r="B152" s="4">
        <v>0.54848379629629629</v>
      </c>
      <c r="D152" s="5" t="s">
        <v>14</v>
      </c>
      <c r="E152" s="5" t="s">
        <v>16</v>
      </c>
      <c r="G152" s="6" t="str">
        <f t="shared" si="6"/>
        <v/>
      </c>
      <c r="H152" s="13" t="str">
        <f t="shared" si="7"/>
        <v/>
      </c>
      <c r="I152" s="6" t="str">
        <f t="shared" si="8"/>
        <v>mount</v>
      </c>
    </row>
    <row r="153" spans="1:10" x14ac:dyDescent="0.25">
      <c r="A153">
        <v>1</v>
      </c>
      <c r="B153" s="4">
        <v>0.54995370370370367</v>
      </c>
      <c r="D153" s="5" t="s">
        <v>12</v>
      </c>
      <c r="E153" s="5" t="s">
        <v>21</v>
      </c>
      <c r="G153" s="6" t="str">
        <f t="shared" si="6"/>
        <v/>
      </c>
      <c r="H153" s="13" t="str">
        <f t="shared" si="7"/>
        <v/>
      </c>
      <c r="I153" s="6" t="str">
        <f t="shared" si="8"/>
        <v>mount</v>
      </c>
      <c r="J153" s="15"/>
    </row>
    <row r="154" spans="1:10" x14ac:dyDescent="0.25">
      <c r="A154">
        <v>1</v>
      </c>
      <c r="B154" s="4">
        <v>0.55153935185185188</v>
      </c>
      <c r="D154" s="5" t="s">
        <v>16</v>
      </c>
      <c r="E154" s="5" t="s">
        <v>14</v>
      </c>
      <c r="G154" s="6" t="str">
        <f t="shared" si="6"/>
        <v/>
      </c>
      <c r="H154" s="13" t="str">
        <f t="shared" si="7"/>
        <v/>
      </c>
      <c r="I154" s="6" t="str">
        <f t="shared" si="8"/>
        <v>mount</v>
      </c>
    </row>
    <row r="155" spans="1:10" x14ac:dyDescent="0.25">
      <c r="A155">
        <v>1</v>
      </c>
      <c r="B155" s="4">
        <v>0.55185185185185182</v>
      </c>
      <c r="D155" s="5" t="s">
        <v>14</v>
      </c>
      <c r="E155" s="5" t="s">
        <v>21</v>
      </c>
      <c r="G155" s="6" t="str">
        <f t="shared" si="6"/>
        <v/>
      </c>
      <c r="H155" s="13" t="str">
        <f t="shared" si="7"/>
        <v/>
      </c>
      <c r="I155" s="6" t="str">
        <f t="shared" si="8"/>
        <v>mount</v>
      </c>
    </row>
    <row r="156" spans="1:10" x14ac:dyDescent="0.25">
      <c r="A156">
        <v>1</v>
      </c>
      <c r="B156" s="4">
        <v>0.55189814814814808</v>
      </c>
      <c r="D156" s="5" t="s">
        <v>21</v>
      </c>
      <c r="E156" s="5" t="s">
        <v>12</v>
      </c>
      <c r="G156" s="6" t="str">
        <f t="shared" si="6"/>
        <v/>
      </c>
      <c r="H156" s="13" t="str">
        <f t="shared" si="7"/>
        <v/>
      </c>
      <c r="I156" s="6" t="str">
        <f t="shared" si="8"/>
        <v>mount</v>
      </c>
      <c r="J156" s="15"/>
    </row>
    <row r="157" spans="1:10" x14ac:dyDescent="0.25">
      <c r="A157">
        <v>1</v>
      </c>
      <c r="B157" s="4">
        <v>0.55189814814814808</v>
      </c>
      <c r="D157" s="5" t="s">
        <v>12</v>
      </c>
      <c r="E157" s="5" t="s">
        <v>16</v>
      </c>
      <c r="G157" s="6" t="str">
        <f t="shared" si="6"/>
        <v/>
      </c>
      <c r="H157" s="13" t="str">
        <f t="shared" si="7"/>
        <v/>
      </c>
      <c r="I157" s="6" t="str">
        <f t="shared" si="8"/>
        <v>mount</v>
      </c>
      <c r="J157" s="15"/>
    </row>
    <row r="158" spans="1:10" x14ac:dyDescent="0.25">
      <c r="A158">
        <v>1</v>
      </c>
      <c r="B158" s="4">
        <v>0.55799768518518522</v>
      </c>
      <c r="D158" s="5" t="s">
        <v>22</v>
      </c>
      <c r="E158" s="5" t="s">
        <v>27</v>
      </c>
      <c r="F158" s="6" t="s">
        <v>29</v>
      </c>
      <c r="G158" s="6" t="s">
        <v>29</v>
      </c>
      <c r="H158" s="13" t="str">
        <f t="shared" si="7"/>
        <v>NA</v>
      </c>
      <c r="I158" s="6" t="str">
        <f t="shared" si="8"/>
        <v>mount</v>
      </c>
      <c r="J158" s="15"/>
    </row>
    <row r="159" spans="1:10" x14ac:dyDescent="0.25">
      <c r="A159">
        <v>1</v>
      </c>
      <c r="B159" s="4">
        <v>0.55812499999999998</v>
      </c>
      <c r="D159" s="5" t="s">
        <v>15</v>
      </c>
      <c r="E159" s="5" t="s">
        <v>22</v>
      </c>
      <c r="G159" s="6" t="str">
        <f t="shared" si="6"/>
        <v/>
      </c>
      <c r="H159" s="13" t="str">
        <f t="shared" si="7"/>
        <v/>
      </c>
      <c r="I159" s="6" t="str">
        <f t="shared" si="8"/>
        <v>mount</v>
      </c>
      <c r="J159" s="15"/>
    </row>
    <row r="160" spans="1:10" x14ac:dyDescent="0.25">
      <c r="A160">
        <v>1</v>
      </c>
      <c r="B160" s="4">
        <v>0.55829861111111112</v>
      </c>
      <c r="D160" s="5" t="s">
        <v>22</v>
      </c>
      <c r="E160" s="5" t="s">
        <v>27</v>
      </c>
      <c r="F160" s="6" t="s">
        <v>20</v>
      </c>
      <c r="G160" s="6" t="str">
        <f t="shared" si="6"/>
        <v>NA</v>
      </c>
      <c r="H160" s="13" t="s">
        <v>29</v>
      </c>
      <c r="I160" s="6" t="str">
        <f t="shared" si="8"/>
        <v>mount</v>
      </c>
      <c r="J160" s="15"/>
    </row>
    <row r="161" spans="1:10" x14ac:dyDescent="0.25">
      <c r="A161">
        <v>1</v>
      </c>
      <c r="B161" s="4">
        <v>0.55850694444444449</v>
      </c>
      <c r="C161" s="4">
        <v>0.55885416666666665</v>
      </c>
      <c r="D161" s="5" t="s">
        <v>13</v>
      </c>
      <c r="E161" s="5" t="s">
        <v>34</v>
      </c>
      <c r="F161" s="6" t="s">
        <v>20</v>
      </c>
      <c r="G161" s="6" t="str">
        <f t="shared" si="6"/>
        <v>NA</v>
      </c>
      <c r="H161" s="13" t="s">
        <v>20</v>
      </c>
      <c r="I161" s="6" t="str">
        <f t="shared" si="8"/>
        <v>insemination</v>
      </c>
    </row>
    <row r="162" spans="1:10" x14ac:dyDescent="0.25">
      <c r="A162">
        <v>1</v>
      </c>
      <c r="B162" s="4">
        <v>0.55929398148148146</v>
      </c>
      <c r="D162" s="5" t="s">
        <v>13</v>
      </c>
      <c r="E162" s="5" t="s">
        <v>34</v>
      </c>
      <c r="F162" s="6" t="s">
        <v>20</v>
      </c>
      <c r="G162" s="6" t="str">
        <f t="shared" si="6"/>
        <v>NA</v>
      </c>
      <c r="H162" s="13" t="s">
        <v>29</v>
      </c>
      <c r="I162" s="6" t="str">
        <f t="shared" si="8"/>
        <v>mount</v>
      </c>
      <c r="J162" s="11"/>
    </row>
    <row r="163" spans="1:10" x14ac:dyDescent="0.25">
      <c r="A163">
        <v>1</v>
      </c>
      <c r="B163" s="4">
        <v>0.56162037037037038</v>
      </c>
      <c r="D163" s="5" t="s">
        <v>22</v>
      </c>
      <c r="E163" s="5" t="s">
        <v>15</v>
      </c>
      <c r="G163" s="6" t="str">
        <f t="shared" si="6"/>
        <v/>
      </c>
      <c r="H163" s="13" t="str">
        <f t="shared" si="7"/>
        <v/>
      </c>
      <c r="I163" s="6" t="str">
        <f t="shared" si="8"/>
        <v>mount</v>
      </c>
      <c r="J163" s="11"/>
    </row>
    <row r="164" spans="1:10" x14ac:dyDescent="0.25">
      <c r="A164">
        <v>1</v>
      </c>
      <c r="B164" s="4">
        <v>0.56237268518518524</v>
      </c>
      <c r="D164" s="5" t="s">
        <v>15</v>
      </c>
      <c r="E164" s="5" t="s">
        <v>22</v>
      </c>
      <c r="G164" s="6" t="str">
        <f t="shared" si="6"/>
        <v/>
      </c>
      <c r="H164" s="13" t="str">
        <f t="shared" si="7"/>
        <v/>
      </c>
      <c r="I164" s="6" t="str">
        <f t="shared" si="8"/>
        <v>mount</v>
      </c>
    </row>
    <row r="165" spans="1:10" x14ac:dyDescent="0.25">
      <c r="A165">
        <v>1</v>
      </c>
      <c r="B165" s="4">
        <v>0.57133101851851853</v>
      </c>
      <c r="D165" s="5" t="s">
        <v>22</v>
      </c>
      <c r="E165" s="5" t="s">
        <v>27</v>
      </c>
      <c r="F165" s="6" t="s">
        <v>20</v>
      </c>
      <c r="G165" s="6" t="str">
        <f t="shared" si="6"/>
        <v>NA</v>
      </c>
      <c r="H165" s="13" t="s">
        <v>29</v>
      </c>
      <c r="I165" s="6" t="str">
        <f t="shared" si="8"/>
        <v>mount</v>
      </c>
      <c r="J165" s="11"/>
    </row>
    <row r="166" spans="1:10" x14ac:dyDescent="0.25">
      <c r="A166">
        <v>1</v>
      </c>
      <c r="B166" s="4">
        <v>0.57156249999999997</v>
      </c>
      <c r="D166" s="5" t="s">
        <v>15</v>
      </c>
      <c r="E166" s="5" t="s">
        <v>22</v>
      </c>
      <c r="G166" s="6" t="str">
        <f t="shared" si="6"/>
        <v/>
      </c>
      <c r="H166" s="13" t="str">
        <f t="shared" si="7"/>
        <v/>
      </c>
      <c r="I166" s="6" t="str">
        <f t="shared" si="8"/>
        <v>mount</v>
      </c>
    </row>
    <row r="167" spans="1:10" x14ac:dyDescent="0.25">
      <c r="A167">
        <v>1</v>
      </c>
      <c r="B167" s="4">
        <v>0.57385416666666667</v>
      </c>
      <c r="D167" s="5" t="s">
        <v>15</v>
      </c>
      <c r="E167" s="5" t="s">
        <v>28</v>
      </c>
      <c r="F167" s="6" t="s">
        <v>20</v>
      </c>
      <c r="G167" s="6" t="str">
        <f t="shared" si="6"/>
        <v>NA</v>
      </c>
      <c r="H167" s="13" t="s">
        <v>29</v>
      </c>
      <c r="I167" s="6" t="str">
        <f t="shared" si="8"/>
        <v>mount</v>
      </c>
      <c r="J167" s="11"/>
    </row>
    <row r="168" spans="1:10" x14ac:dyDescent="0.25">
      <c r="A168">
        <v>1</v>
      </c>
      <c r="B168" s="4">
        <v>0.578125</v>
      </c>
      <c r="D168" s="5" t="s">
        <v>21</v>
      </c>
      <c r="E168" s="5" t="s">
        <v>27</v>
      </c>
      <c r="F168" s="6" t="s">
        <v>20</v>
      </c>
      <c r="G168" s="6" t="str">
        <f t="shared" si="6"/>
        <v>NA</v>
      </c>
      <c r="H168" s="13" t="s">
        <v>29</v>
      </c>
      <c r="I168" s="6" t="str">
        <f t="shared" si="8"/>
        <v>mount</v>
      </c>
    </row>
    <row r="169" spans="1:10" x14ac:dyDescent="0.25">
      <c r="A169">
        <v>1</v>
      </c>
      <c r="B169" s="4">
        <v>0.57974537037037044</v>
      </c>
      <c r="D169" s="5" t="s">
        <v>14</v>
      </c>
      <c r="E169" s="5" t="s">
        <v>21</v>
      </c>
      <c r="G169" s="6" t="str">
        <f t="shared" si="6"/>
        <v/>
      </c>
      <c r="H169" s="13" t="str">
        <f t="shared" si="7"/>
        <v/>
      </c>
      <c r="I169" s="6" t="str">
        <f t="shared" si="8"/>
        <v>mount</v>
      </c>
    </row>
    <row r="170" spans="1:10" x14ac:dyDescent="0.25">
      <c r="A170">
        <v>1</v>
      </c>
      <c r="B170" s="4">
        <v>0.57988425925925924</v>
      </c>
      <c r="D170" s="5" t="s">
        <v>21</v>
      </c>
      <c r="E170" s="5" t="s">
        <v>14</v>
      </c>
      <c r="G170" s="6" t="str">
        <f t="shared" si="6"/>
        <v/>
      </c>
      <c r="H170" s="13" t="str">
        <f t="shared" si="7"/>
        <v/>
      </c>
      <c r="I170" s="6" t="str">
        <f t="shared" si="8"/>
        <v>mount</v>
      </c>
    </row>
    <row r="171" spans="1:10" x14ac:dyDescent="0.25">
      <c r="A171">
        <v>1</v>
      </c>
      <c r="B171" s="4">
        <v>0.58460648148148142</v>
      </c>
      <c r="D171" s="5" t="s">
        <v>18</v>
      </c>
      <c r="E171" s="5" t="s">
        <v>19</v>
      </c>
      <c r="F171" s="6" t="s">
        <v>29</v>
      </c>
      <c r="G171" s="6" t="s">
        <v>29</v>
      </c>
      <c r="H171" s="13" t="str">
        <f t="shared" si="7"/>
        <v>NA</v>
      </c>
      <c r="I171" s="6" t="str">
        <f t="shared" si="8"/>
        <v>mount</v>
      </c>
    </row>
    <row r="172" spans="1:10" x14ac:dyDescent="0.25">
      <c r="A172">
        <v>1</v>
      </c>
      <c r="B172" s="4">
        <v>0.58771990740740743</v>
      </c>
      <c r="D172" s="5" t="s">
        <v>22</v>
      </c>
      <c r="E172" s="5" t="s">
        <v>19</v>
      </c>
      <c r="F172" s="6" t="s">
        <v>29</v>
      </c>
      <c r="G172" s="6" t="s">
        <v>29</v>
      </c>
      <c r="H172" s="13" t="str">
        <f t="shared" si="7"/>
        <v>NA</v>
      </c>
      <c r="I172" s="6" t="str">
        <f t="shared" si="8"/>
        <v>mount</v>
      </c>
    </row>
    <row r="173" spans="1:10" x14ac:dyDescent="0.25">
      <c r="A173">
        <v>1</v>
      </c>
      <c r="B173" s="4">
        <v>0.58865740740740746</v>
      </c>
      <c r="D173" s="5" t="s">
        <v>18</v>
      </c>
      <c r="E173" s="5" t="s">
        <v>27</v>
      </c>
      <c r="F173" s="6" t="s">
        <v>20</v>
      </c>
      <c r="G173" s="6" t="str">
        <f t="shared" si="6"/>
        <v>NA</v>
      </c>
      <c r="H173" s="13" t="s">
        <v>29</v>
      </c>
      <c r="I173" s="6" t="str">
        <f t="shared" si="8"/>
        <v>mount</v>
      </c>
    </row>
    <row r="174" spans="1:10" x14ac:dyDescent="0.25">
      <c r="A174">
        <v>1</v>
      </c>
      <c r="B174" s="4">
        <v>0.59135416666666674</v>
      </c>
      <c r="D174" s="5" t="s">
        <v>22</v>
      </c>
      <c r="E174" s="5" t="s">
        <v>19</v>
      </c>
      <c r="F174" s="6" t="s">
        <v>29</v>
      </c>
      <c r="G174" s="6" t="s">
        <v>29</v>
      </c>
      <c r="H174" s="13" t="str">
        <f t="shared" si="7"/>
        <v>NA</v>
      </c>
      <c r="I174" s="6" t="str">
        <f t="shared" si="8"/>
        <v>mount</v>
      </c>
    </row>
    <row r="175" spans="1:10" x14ac:dyDescent="0.25">
      <c r="A175">
        <v>1</v>
      </c>
      <c r="B175" s="4">
        <v>0.59166666666666667</v>
      </c>
      <c r="D175" s="5" t="s">
        <v>18</v>
      </c>
      <c r="E175" s="5" t="s">
        <v>13</v>
      </c>
      <c r="G175" s="6" t="str">
        <f t="shared" si="6"/>
        <v/>
      </c>
      <c r="H175" s="13" t="str">
        <f t="shared" si="7"/>
        <v/>
      </c>
      <c r="I175" s="6" t="str">
        <f t="shared" si="8"/>
        <v>mount</v>
      </c>
    </row>
    <row r="176" spans="1:10" x14ac:dyDescent="0.25">
      <c r="A176">
        <v>1</v>
      </c>
      <c r="B176" s="4">
        <v>0.59224537037037039</v>
      </c>
      <c r="D176" s="5" t="s">
        <v>15</v>
      </c>
      <c r="E176" s="5" t="s">
        <v>27</v>
      </c>
      <c r="F176" s="6" t="s">
        <v>20</v>
      </c>
      <c r="G176" s="6" t="str">
        <f t="shared" si="6"/>
        <v>NA</v>
      </c>
      <c r="H176" s="13" t="s">
        <v>29</v>
      </c>
      <c r="I176" s="6" t="str">
        <f t="shared" si="8"/>
        <v>mount</v>
      </c>
    </row>
    <row r="177" spans="1:9" x14ac:dyDescent="0.25">
      <c r="A177">
        <v>1</v>
      </c>
      <c r="B177" s="4">
        <v>0.5933680555555555</v>
      </c>
      <c r="D177" s="5" t="s">
        <v>13</v>
      </c>
      <c r="E177" s="5" t="s">
        <v>19</v>
      </c>
      <c r="F177" s="6" t="s">
        <v>29</v>
      </c>
      <c r="G177" s="6" t="s">
        <v>20</v>
      </c>
      <c r="H177" s="13" t="s">
        <v>29</v>
      </c>
      <c r="I177" s="6" t="str">
        <f t="shared" si="8"/>
        <v>mount</v>
      </c>
    </row>
    <row r="178" spans="1:9" x14ac:dyDescent="0.25">
      <c r="A178">
        <v>1</v>
      </c>
      <c r="B178" s="4">
        <v>0.5941319444444445</v>
      </c>
      <c r="D178" s="5" t="s">
        <v>15</v>
      </c>
      <c r="E178" s="5" t="s">
        <v>27</v>
      </c>
      <c r="F178" s="6" t="s">
        <v>29</v>
      </c>
      <c r="G178" s="6" t="s">
        <v>29</v>
      </c>
      <c r="H178" s="13" t="str">
        <f t="shared" si="7"/>
        <v>NA</v>
      </c>
      <c r="I178" s="6" t="str">
        <f t="shared" si="8"/>
        <v>mount</v>
      </c>
    </row>
    <row r="179" spans="1:9" x14ac:dyDescent="0.25">
      <c r="A179">
        <v>1</v>
      </c>
      <c r="B179" s="4">
        <v>0.59495370370370371</v>
      </c>
      <c r="D179" s="5" t="s">
        <v>15</v>
      </c>
      <c r="E179" s="5" t="s">
        <v>27</v>
      </c>
      <c r="F179" s="6" t="s">
        <v>20</v>
      </c>
      <c r="G179" s="6" t="str">
        <f t="shared" si="6"/>
        <v>NA</v>
      </c>
      <c r="H179" s="13" t="s">
        <v>29</v>
      </c>
      <c r="I179" s="6" t="str">
        <f t="shared" si="8"/>
        <v>mount</v>
      </c>
    </row>
    <row r="180" spans="1:9" x14ac:dyDescent="0.25">
      <c r="A180">
        <v>1</v>
      </c>
      <c r="B180" s="4">
        <v>0.59515046296296303</v>
      </c>
      <c r="D180" s="5" t="s">
        <v>13</v>
      </c>
      <c r="E180" s="5" t="s">
        <v>19</v>
      </c>
      <c r="F180" s="6" t="s">
        <v>29</v>
      </c>
      <c r="G180" s="6" t="s">
        <v>29</v>
      </c>
      <c r="H180" s="13" t="str">
        <f t="shared" si="7"/>
        <v>NA</v>
      </c>
      <c r="I180" s="6" t="str">
        <f t="shared" si="8"/>
        <v>mount</v>
      </c>
    </row>
    <row r="181" spans="1:9" x14ac:dyDescent="0.25">
      <c r="A181">
        <v>1</v>
      </c>
      <c r="B181" s="4">
        <v>0.5954976851851852</v>
      </c>
      <c r="C181" s="4">
        <v>0.59578703703703706</v>
      </c>
      <c r="D181" s="5" t="s">
        <v>15</v>
      </c>
      <c r="E181" s="5" t="s">
        <v>19</v>
      </c>
      <c r="F181" s="6" t="s">
        <v>20</v>
      </c>
      <c r="G181" s="6" t="str">
        <f t="shared" si="6"/>
        <v>NA</v>
      </c>
      <c r="H181" s="13" t="s">
        <v>20</v>
      </c>
      <c r="I181" s="6" t="str">
        <f t="shared" si="8"/>
        <v>insemination</v>
      </c>
    </row>
    <row r="182" spans="1:9" x14ac:dyDescent="0.25">
      <c r="A182">
        <v>1</v>
      </c>
      <c r="B182" s="4">
        <v>0.59778935185185189</v>
      </c>
      <c r="D182" s="5" t="s">
        <v>18</v>
      </c>
      <c r="E182" s="5" t="s">
        <v>13</v>
      </c>
      <c r="G182" s="6" t="str">
        <f t="shared" si="6"/>
        <v/>
      </c>
      <c r="H182" s="13" t="str">
        <f t="shared" si="7"/>
        <v/>
      </c>
      <c r="I182" s="6" t="str">
        <f t="shared" si="8"/>
        <v>mount</v>
      </c>
    </row>
    <row r="183" spans="1:9" x14ac:dyDescent="0.25">
      <c r="A183">
        <v>1</v>
      </c>
      <c r="B183" s="4">
        <v>0.59940972222222222</v>
      </c>
      <c r="C183" s="4"/>
      <c r="D183" s="5" t="s">
        <v>15</v>
      </c>
      <c r="E183" s="5" t="s">
        <v>27</v>
      </c>
      <c r="F183" s="6" t="s">
        <v>20</v>
      </c>
      <c r="G183" s="6" t="str">
        <f t="shared" si="6"/>
        <v>NA</v>
      </c>
      <c r="H183" s="13" t="s">
        <v>29</v>
      </c>
      <c r="I183" s="6" t="str">
        <f t="shared" si="8"/>
        <v>mount</v>
      </c>
    </row>
    <row r="184" spans="1:9" x14ac:dyDescent="0.25">
      <c r="A184">
        <v>1</v>
      </c>
      <c r="B184" s="4">
        <v>0.59986111111111107</v>
      </c>
      <c r="D184" s="5" t="s">
        <v>15</v>
      </c>
      <c r="E184" s="5" t="s">
        <v>27</v>
      </c>
      <c r="F184" s="6" t="s">
        <v>20</v>
      </c>
      <c r="G184" s="6" t="str">
        <f t="shared" si="6"/>
        <v>NA</v>
      </c>
      <c r="H184" s="13" t="s">
        <v>29</v>
      </c>
      <c r="I184" s="6" t="str">
        <f t="shared" si="8"/>
        <v>mount</v>
      </c>
    </row>
    <row r="185" spans="1:9" x14ac:dyDescent="0.25">
      <c r="A185">
        <v>1</v>
      </c>
      <c r="B185" s="4">
        <v>0.60034722222222225</v>
      </c>
      <c r="D185" s="5" t="s">
        <v>18</v>
      </c>
      <c r="E185" s="5" t="s">
        <v>13</v>
      </c>
      <c r="G185" s="6" t="str">
        <f t="shared" si="6"/>
        <v/>
      </c>
      <c r="H185" s="13" t="str">
        <f t="shared" si="7"/>
        <v/>
      </c>
      <c r="I185" s="6" t="str">
        <f t="shared" si="8"/>
        <v>mount</v>
      </c>
    </row>
    <row r="186" spans="1:9" x14ac:dyDescent="0.25">
      <c r="A186">
        <v>1</v>
      </c>
      <c r="B186" s="4">
        <v>0.60502314814814817</v>
      </c>
      <c r="D186" s="5" t="s">
        <v>16</v>
      </c>
      <c r="E186" s="5" t="s">
        <v>12</v>
      </c>
      <c r="G186" s="6" t="str">
        <f t="shared" si="6"/>
        <v/>
      </c>
      <c r="H186" s="13" t="str">
        <f t="shared" si="7"/>
        <v/>
      </c>
      <c r="I186" s="6" t="str">
        <f t="shared" si="8"/>
        <v>mount</v>
      </c>
    </row>
    <row r="187" spans="1:9" x14ac:dyDescent="0.25">
      <c r="A187">
        <v>1</v>
      </c>
      <c r="B187" s="4">
        <v>0.60672453703703699</v>
      </c>
      <c r="D187" s="5" t="s">
        <v>22</v>
      </c>
      <c r="E187" s="5" t="s">
        <v>15</v>
      </c>
      <c r="G187" s="6" t="str">
        <f t="shared" si="6"/>
        <v/>
      </c>
      <c r="H187" s="13" t="str">
        <f t="shared" si="7"/>
        <v/>
      </c>
      <c r="I187" s="6" t="str">
        <f t="shared" si="8"/>
        <v>mount</v>
      </c>
    </row>
    <row r="188" spans="1:9" x14ac:dyDescent="0.25">
      <c r="A188">
        <v>1</v>
      </c>
      <c r="B188" s="4">
        <v>0.60893518518518519</v>
      </c>
      <c r="D188" s="5" t="s">
        <v>15</v>
      </c>
      <c r="E188" s="5" t="s">
        <v>27</v>
      </c>
      <c r="F188" s="6" t="s">
        <v>20</v>
      </c>
      <c r="G188" s="6" t="str">
        <f t="shared" si="6"/>
        <v>NA</v>
      </c>
      <c r="H188" s="13" t="s">
        <v>29</v>
      </c>
      <c r="I188" s="6" t="str">
        <f t="shared" si="8"/>
        <v>mount</v>
      </c>
    </row>
    <row r="189" spans="1:9" x14ac:dyDescent="0.25">
      <c r="A189">
        <v>1</v>
      </c>
      <c r="B189" s="4">
        <v>0.61479166666666674</v>
      </c>
      <c r="D189" s="5" t="s">
        <v>15</v>
      </c>
      <c r="E189" s="5" t="s">
        <v>27</v>
      </c>
      <c r="F189" s="6" t="s">
        <v>29</v>
      </c>
      <c r="G189" s="6" t="s">
        <v>29</v>
      </c>
      <c r="H189" s="13" t="str">
        <f t="shared" si="7"/>
        <v>NA</v>
      </c>
      <c r="I189" s="6" t="str">
        <f t="shared" si="8"/>
        <v>mount</v>
      </c>
    </row>
    <row r="190" spans="1:9" x14ac:dyDescent="0.25">
      <c r="A190">
        <v>1</v>
      </c>
      <c r="B190" s="4">
        <v>0.62656250000000002</v>
      </c>
      <c r="D190" s="5" t="s">
        <v>15</v>
      </c>
      <c r="E190" s="5" t="s">
        <v>27</v>
      </c>
      <c r="F190" s="6" t="s">
        <v>20</v>
      </c>
      <c r="G190" s="6" t="str">
        <f t="shared" si="6"/>
        <v>NA</v>
      </c>
      <c r="H190" s="13" t="s">
        <v>29</v>
      </c>
      <c r="I190" s="6" t="str">
        <f t="shared" si="8"/>
        <v>mount</v>
      </c>
    </row>
    <row r="191" spans="1:9" x14ac:dyDescent="0.25">
      <c r="A191">
        <v>1</v>
      </c>
      <c r="B191" s="4">
        <v>0.63020833333333337</v>
      </c>
      <c r="D191" s="5" t="s">
        <v>22</v>
      </c>
      <c r="E191" s="5" t="s">
        <v>23</v>
      </c>
      <c r="F191" s="6" t="s">
        <v>29</v>
      </c>
      <c r="G191" s="6" t="s">
        <v>29</v>
      </c>
      <c r="H191" s="13" t="str">
        <f t="shared" si="7"/>
        <v>NA</v>
      </c>
      <c r="I191" s="6" t="str">
        <f t="shared" si="8"/>
        <v>mount</v>
      </c>
    </row>
    <row r="192" spans="1:9" x14ac:dyDescent="0.25">
      <c r="A192">
        <v>1</v>
      </c>
      <c r="B192" s="4">
        <v>0.63050925925925927</v>
      </c>
      <c r="D192" s="5" t="s">
        <v>22</v>
      </c>
      <c r="E192" s="5" t="s">
        <v>23</v>
      </c>
      <c r="F192" s="6" t="s">
        <v>20</v>
      </c>
      <c r="G192" s="6" t="str">
        <f t="shared" si="6"/>
        <v>NA</v>
      </c>
      <c r="H192" s="13" t="s">
        <v>29</v>
      </c>
      <c r="I192" s="6" t="str">
        <f t="shared" si="8"/>
        <v>mount</v>
      </c>
    </row>
    <row r="193" spans="1:10" x14ac:dyDescent="0.25">
      <c r="A193">
        <v>1</v>
      </c>
      <c r="B193" s="4">
        <v>0.63332175925925926</v>
      </c>
      <c r="D193" s="5" t="s">
        <v>22</v>
      </c>
      <c r="E193" s="5" t="s">
        <v>15</v>
      </c>
      <c r="G193" s="6" t="str">
        <f t="shared" si="6"/>
        <v/>
      </c>
      <c r="H193" s="13" t="str">
        <f t="shared" si="7"/>
        <v/>
      </c>
      <c r="I193" s="6" t="str">
        <f t="shared" si="8"/>
        <v>mount</v>
      </c>
    </row>
    <row r="194" spans="1:10" x14ac:dyDescent="0.25">
      <c r="A194">
        <v>1</v>
      </c>
      <c r="B194" s="4">
        <v>0.63608796296296299</v>
      </c>
      <c r="D194" s="5" t="s">
        <v>18</v>
      </c>
      <c r="E194" s="5" t="s">
        <v>23</v>
      </c>
      <c r="F194" s="6" t="s">
        <v>20</v>
      </c>
      <c r="G194" s="6" t="str">
        <f t="shared" si="6"/>
        <v>NA</v>
      </c>
      <c r="H194" s="13" t="s">
        <v>29</v>
      </c>
      <c r="I194" s="6" t="str">
        <f t="shared" si="8"/>
        <v>mount</v>
      </c>
    </row>
    <row r="195" spans="1:10" x14ac:dyDescent="0.25">
      <c r="A195">
        <v>1</v>
      </c>
      <c r="B195" s="4">
        <v>0.6378935185185185</v>
      </c>
      <c r="D195" s="5" t="s">
        <v>18</v>
      </c>
      <c r="E195" s="5" t="s">
        <v>23</v>
      </c>
      <c r="F195" s="6" t="s">
        <v>20</v>
      </c>
      <c r="G195" s="6" t="str">
        <f t="shared" ref="G195:G258" si="9">IF(F195 = "n", "NA", "")</f>
        <v>NA</v>
      </c>
      <c r="H195" s="13" t="s">
        <v>29</v>
      </c>
      <c r="I195" s="6" t="str">
        <f t="shared" ref="I195:I258" si="10">IF(H195="n", "insemination", "mount")</f>
        <v>mount</v>
      </c>
      <c r="J195" s="15"/>
    </row>
    <row r="196" spans="1:10" x14ac:dyDescent="0.25">
      <c r="A196">
        <v>1</v>
      </c>
      <c r="B196" s="4">
        <v>0.63832175925925927</v>
      </c>
      <c r="D196" s="5" t="s">
        <v>18</v>
      </c>
      <c r="E196" s="5" t="s">
        <v>34</v>
      </c>
      <c r="F196" s="6" t="s">
        <v>20</v>
      </c>
      <c r="G196" s="6" t="str">
        <f t="shared" si="9"/>
        <v>NA</v>
      </c>
      <c r="H196" s="13" t="s">
        <v>29</v>
      </c>
      <c r="I196" s="6" t="str">
        <f t="shared" si="10"/>
        <v>mount</v>
      </c>
    </row>
    <row r="197" spans="1:10" x14ac:dyDescent="0.25">
      <c r="A197">
        <v>1</v>
      </c>
      <c r="B197" s="4">
        <v>0.64170138888888884</v>
      </c>
      <c r="D197" s="5" t="s">
        <v>18</v>
      </c>
      <c r="E197" s="5" t="s">
        <v>23</v>
      </c>
      <c r="F197" s="6" t="s">
        <v>20</v>
      </c>
      <c r="G197" s="6" t="str">
        <f t="shared" si="9"/>
        <v>NA</v>
      </c>
      <c r="H197" s="13" t="s">
        <v>29</v>
      </c>
      <c r="I197" s="6" t="str">
        <f t="shared" si="10"/>
        <v>mount</v>
      </c>
    </row>
    <row r="198" spans="1:10" x14ac:dyDescent="0.25">
      <c r="A198">
        <v>1</v>
      </c>
      <c r="B198" s="4">
        <v>0.64319444444444451</v>
      </c>
      <c r="D198" s="5" t="s">
        <v>18</v>
      </c>
      <c r="E198" s="5" t="s">
        <v>23</v>
      </c>
      <c r="F198" s="6" t="s">
        <v>20</v>
      </c>
      <c r="G198" s="6" t="str">
        <f t="shared" si="9"/>
        <v>NA</v>
      </c>
      <c r="H198" s="13" t="s">
        <v>29</v>
      </c>
      <c r="I198" s="6" t="str">
        <f t="shared" si="10"/>
        <v>mount</v>
      </c>
    </row>
    <row r="199" spans="1:10" x14ac:dyDescent="0.25">
      <c r="A199">
        <v>1</v>
      </c>
      <c r="B199" s="4">
        <v>0.6433564814814815</v>
      </c>
      <c r="D199" s="5" t="s">
        <v>18</v>
      </c>
      <c r="E199" s="5" t="s">
        <v>23</v>
      </c>
      <c r="F199" s="6" t="s">
        <v>20</v>
      </c>
      <c r="G199" s="6" t="str">
        <f t="shared" si="9"/>
        <v>NA</v>
      </c>
      <c r="H199" s="13" t="s">
        <v>29</v>
      </c>
      <c r="I199" s="6" t="str">
        <f t="shared" si="10"/>
        <v>mount</v>
      </c>
    </row>
    <row r="200" spans="1:10" x14ac:dyDescent="0.25">
      <c r="A200">
        <v>1</v>
      </c>
      <c r="B200" s="4">
        <v>0.64359953703703698</v>
      </c>
      <c r="D200" s="5" t="s">
        <v>15</v>
      </c>
      <c r="E200" s="5" t="s">
        <v>27</v>
      </c>
      <c r="F200" s="6" t="s">
        <v>20</v>
      </c>
      <c r="G200" s="6" t="str">
        <f t="shared" si="9"/>
        <v>NA</v>
      </c>
      <c r="H200" s="13" t="s">
        <v>29</v>
      </c>
      <c r="I200" s="6" t="str">
        <f t="shared" si="10"/>
        <v>mount</v>
      </c>
    </row>
    <row r="201" spans="1:10" x14ac:dyDescent="0.25">
      <c r="A201">
        <v>1</v>
      </c>
      <c r="B201" s="4">
        <v>0.64415509259259263</v>
      </c>
      <c r="D201" s="5" t="s">
        <v>22</v>
      </c>
      <c r="E201" s="5" t="s">
        <v>18</v>
      </c>
      <c r="G201" s="6" t="str">
        <f t="shared" si="9"/>
        <v/>
      </c>
      <c r="H201" s="13" t="str">
        <f t="shared" ref="H201:H258" si="11">IF(G201 = "y", "NA", "")</f>
        <v/>
      </c>
      <c r="I201" s="6" t="str">
        <f t="shared" si="10"/>
        <v>mount</v>
      </c>
    </row>
    <row r="202" spans="1:10" x14ac:dyDescent="0.25">
      <c r="A202">
        <v>1</v>
      </c>
      <c r="B202" s="4">
        <v>0.64421296296296293</v>
      </c>
      <c r="D202" s="5" t="s">
        <v>18</v>
      </c>
      <c r="E202" s="5" t="s">
        <v>22</v>
      </c>
      <c r="G202" s="6" t="str">
        <f t="shared" si="9"/>
        <v/>
      </c>
      <c r="H202" s="13" t="str">
        <f t="shared" si="11"/>
        <v/>
      </c>
      <c r="I202" s="6" t="str">
        <f t="shared" si="10"/>
        <v>mount</v>
      </c>
    </row>
    <row r="203" spans="1:10" x14ac:dyDescent="0.25">
      <c r="A203">
        <v>1</v>
      </c>
      <c r="B203" s="4">
        <v>0.64429398148148154</v>
      </c>
      <c r="C203" s="4">
        <v>0.64456018518518521</v>
      </c>
      <c r="D203" s="5" t="s">
        <v>18</v>
      </c>
      <c r="E203" s="5" t="s">
        <v>36</v>
      </c>
      <c r="F203" s="6" t="s">
        <v>20</v>
      </c>
      <c r="G203" s="6" t="str">
        <f t="shared" si="9"/>
        <v>NA</v>
      </c>
      <c r="H203" s="13" t="s">
        <v>20</v>
      </c>
      <c r="I203" s="6" t="str">
        <f t="shared" si="10"/>
        <v>insemination</v>
      </c>
    </row>
    <row r="204" spans="1:10" x14ac:dyDescent="0.25">
      <c r="A204">
        <v>1</v>
      </c>
      <c r="B204" s="4">
        <v>0.64500000000000002</v>
      </c>
      <c r="D204" s="5" t="s">
        <v>15</v>
      </c>
      <c r="E204" s="5" t="s">
        <v>27</v>
      </c>
      <c r="F204" s="6" t="s">
        <v>20</v>
      </c>
      <c r="G204" s="6" t="str">
        <f t="shared" si="9"/>
        <v>NA</v>
      </c>
      <c r="H204" s="13" t="s">
        <v>29</v>
      </c>
      <c r="I204" s="6" t="str">
        <f t="shared" si="10"/>
        <v>mount</v>
      </c>
    </row>
    <row r="205" spans="1:10" x14ac:dyDescent="0.25">
      <c r="A205">
        <v>1</v>
      </c>
      <c r="B205" s="4">
        <v>0.65924768518518517</v>
      </c>
      <c r="D205" s="5" t="s">
        <v>18</v>
      </c>
      <c r="E205" s="5" t="s">
        <v>23</v>
      </c>
      <c r="F205" s="6" t="s">
        <v>20</v>
      </c>
      <c r="G205" s="6" t="str">
        <f t="shared" si="9"/>
        <v>NA</v>
      </c>
      <c r="H205" s="13" t="s">
        <v>29</v>
      </c>
      <c r="I205" s="6" t="str">
        <f t="shared" si="10"/>
        <v>mount</v>
      </c>
    </row>
    <row r="206" spans="1:10" x14ac:dyDescent="0.25">
      <c r="A206">
        <v>1</v>
      </c>
      <c r="B206" s="4">
        <v>0.65938657407407408</v>
      </c>
      <c r="D206" s="5" t="s">
        <v>21</v>
      </c>
      <c r="E206" s="5" t="s">
        <v>16</v>
      </c>
      <c r="G206" s="6" t="str">
        <f t="shared" si="9"/>
        <v/>
      </c>
      <c r="H206" s="13" t="str">
        <f t="shared" si="11"/>
        <v/>
      </c>
      <c r="I206" s="6" t="str">
        <f t="shared" si="10"/>
        <v>mount</v>
      </c>
    </row>
    <row r="207" spans="1:10" x14ac:dyDescent="0.25">
      <c r="A207">
        <v>1</v>
      </c>
      <c r="B207" s="4">
        <v>0.65946759259259258</v>
      </c>
      <c r="D207" s="5" t="s">
        <v>14</v>
      </c>
      <c r="E207" s="5" t="s">
        <v>21</v>
      </c>
      <c r="G207" s="6" t="str">
        <f t="shared" si="9"/>
        <v/>
      </c>
      <c r="H207" s="13" t="str">
        <f t="shared" si="11"/>
        <v/>
      </c>
      <c r="I207" s="6" t="str">
        <f t="shared" si="10"/>
        <v>mount</v>
      </c>
    </row>
    <row r="208" spans="1:10" x14ac:dyDescent="0.25">
      <c r="A208">
        <v>1</v>
      </c>
      <c r="B208" s="4">
        <v>0.66052083333333333</v>
      </c>
      <c r="D208" s="5" t="s">
        <v>18</v>
      </c>
      <c r="E208" s="5" t="s">
        <v>22</v>
      </c>
      <c r="G208" s="6" t="str">
        <f t="shared" si="9"/>
        <v/>
      </c>
      <c r="H208" s="13" t="str">
        <f t="shared" si="11"/>
        <v/>
      </c>
      <c r="I208" s="6" t="str">
        <f t="shared" si="10"/>
        <v>mount</v>
      </c>
    </row>
    <row r="209" spans="1:10" x14ac:dyDescent="0.25">
      <c r="A209">
        <v>1</v>
      </c>
      <c r="B209" s="4">
        <v>0.66199074074074071</v>
      </c>
      <c r="D209" s="5" t="s">
        <v>16</v>
      </c>
      <c r="E209" s="5" t="s">
        <v>21</v>
      </c>
      <c r="G209" s="6" t="str">
        <f t="shared" si="9"/>
        <v/>
      </c>
      <c r="H209" s="13" t="str">
        <f t="shared" si="11"/>
        <v/>
      </c>
      <c r="I209" s="6" t="str">
        <f t="shared" si="10"/>
        <v>mount</v>
      </c>
    </row>
    <row r="210" spans="1:10" x14ac:dyDescent="0.25">
      <c r="A210">
        <v>1</v>
      </c>
      <c r="B210" s="4">
        <v>0.66244212962962956</v>
      </c>
      <c r="D210" s="5" t="s">
        <v>14</v>
      </c>
      <c r="E210" s="5" t="s">
        <v>21</v>
      </c>
      <c r="G210" s="6" t="str">
        <f t="shared" si="9"/>
        <v/>
      </c>
      <c r="H210" s="13" t="str">
        <f t="shared" si="11"/>
        <v/>
      </c>
      <c r="I210" s="6" t="str">
        <f t="shared" si="10"/>
        <v>mount</v>
      </c>
    </row>
    <row r="211" spans="1:10" x14ac:dyDescent="0.25">
      <c r="A211">
        <v>1</v>
      </c>
      <c r="B211" s="4">
        <v>0.66317129629629623</v>
      </c>
      <c r="D211" s="5" t="s">
        <v>16</v>
      </c>
      <c r="E211" s="5" t="s">
        <v>12</v>
      </c>
      <c r="G211" s="6" t="str">
        <f t="shared" si="9"/>
        <v/>
      </c>
      <c r="H211" s="13" t="str">
        <f t="shared" si="11"/>
        <v/>
      </c>
      <c r="I211" s="6" t="str">
        <f t="shared" si="10"/>
        <v>mount</v>
      </c>
      <c r="J211" t="s">
        <v>37</v>
      </c>
    </row>
    <row r="212" spans="1:10" x14ac:dyDescent="0.25">
      <c r="A212">
        <v>2</v>
      </c>
      <c r="B212" s="4">
        <v>0.34302083333333333</v>
      </c>
      <c r="D212" s="5" t="s">
        <v>12</v>
      </c>
      <c r="E212" s="5" t="s">
        <v>14</v>
      </c>
      <c r="G212" s="6" t="str">
        <f t="shared" si="9"/>
        <v/>
      </c>
      <c r="H212" s="13" t="str">
        <f t="shared" si="11"/>
        <v/>
      </c>
      <c r="I212" s="6" t="str">
        <f t="shared" si="10"/>
        <v>mount</v>
      </c>
      <c r="J212" t="s">
        <v>38</v>
      </c>
    </row>
    <row r="213" spans="1:10" x14ac:dyDescent="0.25">
      <c r="A213">
        <v>2</v>
      </c>
      <c r="B213" s="4">
        <v>0.35454861111111113</v>
      </c>
      <c r="D213" s="5" t="s">
        <v>18</v>
      </c>
      <c r="E213" s="5" t="s">
        <v>22</v>
      </c>
      <c r="G213" s="6" t="str">
        <f t="shared" si="9"/>
        <v/>
      </c>
      <c r="H213" s="13" t="str">
        <f t="shared" si="11"/>
        <v/>
      </c>
      <c r="I213" s="6" t="str">
        <f t="shared" si="10"/>
        <v>mount</v>
      </c>
    </row>
    <row r="214" spans="1:10" x14ac:dyDescent="0.25">
      <c r="A214">
        <v>2</v>
      </c>
      <c r="B214" s="4">
        <v>0.36493055555555554</v>
      </c>
      <c r="D214" s="5" t="s">
        <v>16</v>
      </c>
      <c r="E214" s="5" t="s">
        <v>14</v>
      </c>
      <c r="G214" s="6" t="str">
        <f t="shared" si="9"/>
        <v/>
      </c>
      <c r="H214" s="13" t="str">
        <f t="shared" si="11"/>
        <v/>
      </c>
      <c r="I214" s="6" t="str">
        <f t="shared" si="10"/>
        <v>mount</v>
      </c>
    </row>
    <row r="215" spans="1:10" x14ac:dyDescent="0.25">
      <c r="A215">
        <v>2</v>
      </c>
      <c r="B215" s="4">
        <v>0.37666666666666665</v>
      </c>
      <c r="D215" s="5" t="s">
        <v>22</v>
      </c>
      <c r="E215" s="5" t="s">
        <v>18</v>
      </c>
      <c r="G215" s="6" t="str">
        <f t="shared" si="9"/>
        <v/>
      </c>
      <c r="H215" s="13" t="str">
        <f t="shared" si="11"/>
        <v/>
      </c>
      <c r="I215" s="6" t="str">
        <f t="shared" si="10"/>
        <v>mount</v>
      </c>
    </row>
    <row r="216" spans="1:10" x14ac:dyDescent="0.25">
      <c r="A216">
        <v>2</v>
      </c>
      <c r="B216" s="4">
        <v>0.37675925925925924</v>
      </c>
      <c r="D216" s="5" t="s">
        <v>18</v>
      </c>
      <c r="E216" s="5" t="s">
        <v>22</v>
      </c>
      <c r="G216" s="6" t="str">
        <f t="shared" si="9"/>
        <v/>
      </c>
      <c r="H216" s="13" t="str">
        <f t="shared" si="11"/>
        <v/>
      </c>
      <c r="I216" s="6" t="str">
        <f t="shared" si="10"/>
        <v>mount</v>
      </c>
    </row>
    <row r="217" spans="1:10" x14ac:dyDescent="0.25">
      <c r="A217">
        <v>2</v>
      </c>
      <c r="B217" s="4">
        <v>0.37686342592592598</v>
      </c>
      <c r="D217" s="5" t="s">
        <v>22</v>
      </c>
      <c r="E217" s="5" t="s">
        <v>18</v>
      </c>
      <c r="G217" s="6" t="str">
        <f t="shared" si="9"/>
        <v/>
      </c>
      <c r="H217" s="13" t="str">
        <f t="shared" si="11"/>
        <v/>
      </c>
      <c r="I217" s="6" t="str">
        <f t="shared" si="10"/>
        <v>mount</v>
      </c>
    </row>
    <row r="218" spans="1:10" x14ac:dyDescent="0.25">
      <c r="A218">
        <v>2</v>
      </c>
      <c r="B218" s="4">
        <v>0.37708333333333338</v>
      </c>
      <c r="D218" s="5" t="s">
        <v>22</v>
      </c>
      <c r="E218" s="5" t="s">
        <v>18</v>
      </c>
      <c r="G218" s="6" t="str">
        <f t="shared" si="9"/>
        <v/>
      </c>
      <c r="H218" s="13" t="str">
        <f t="shared" si="11"/>
        <v/>
      </c>
      <c r="I218" s="6" t="str">
        <f t="shared" si="10"/>
        <v>mount</v>
      </c>
    </row>
    <row r="219" spans="1:10" x14ac:dyDescent="0.25">
      <c r="A219">
        <v>2</v>
      </c>
      <c r="B219" s="4">
        <v>0.37724537037037037</v>
      </c>
      <c r="D219" s="5" t="s">
        <v>16</v>
      </c>
      <c r="E219" s="5" t="s">
        <v>14</v>
      </c>
      <c r="G219" s="6" t="str">
        <f t="shared" si="9"/>
        <v/>
      </c>
      <c r="H219" s="13" t="str">
        <f t="shared" si="11"/>
        <v/>
      </c>
      <c r="I219" s="6" t="str">
        <f t="shared" si="10"/>
        <v>mount</v>
      </c>
    </row>
    <row r="220" spans="1:10" x14ac:dyDescent="0.25">
      <c r="A220">
        <v>2</v>
      </c>
      <c r="B220" s="4">
        <v>0.37895833333333334</v>
      </c>
      <c r="C220" s="4">
        <v>0.38069444444444445</v>
      </c>
      <c r="D220" s="5" t="s">
        <v>14</v>
      </c>
      <c r="E220" s="5" t="s">
        <v>17</v>
      </c>
      <c r="F220" s="6" t="s">
        <v>29</v>
      </c>
      <c r="G220" s="6" t="s">
        <v>20</v>
      </c>
      <c r="H220" s="13" t="s">
        <v>20</v>
      </c>
      <c r="I220" s="6" t="str">
        <f t="shared" si="10"/>
        <v>insemination</v>
      </c>
      <c r="J220" s="17" t="s">
        <v>39</v>
      </c>
    </row>
    <row r="221" spans="1:10" x14ac:dyDescent="0.25">
      <c r="A221">
        <v>2</v>
      </c>
      <c r="B221" s="4">
        <v>0.38112268518518522</v>
      </c>
      <c r="D221" s="5" t="s">
        <v>22</v>
      </c>
      <c r="E221" s="5" t="s">
        <v>18</v>
      </c>
      <c r="G221" s="6" t="str">
        <f t="shared" si="9"/>
        <v/>
      </c>
      <c r="H221" s="13" t="str">
        <f t="shared" si="11"/>
        <v/>
      </c>
      <c r="I221" s="6" t="str">
        <f t="shared" si="10"/>
        <v>mount</v>
      </c>
    </row>
    <row r="222" spans="1:10" x14ac:dyDescent="0.25">
      <c r="A222">
        <v>2</v>
      </c>
      <c r="B222" s="4">
        <v>0.38390046296296299</v>
      </c>
      <c r="D222" s="5" t="s">
        <v>16</v>
      </c>
      <c r="E222" s="5" t="s">
        <v>12</v>
      </c>
      <c r="G222" s="6" t="str">
        <f t="shared" si="9"/>
        <v/>
      </c>
      <c r="H222" s="13" t="str">
        <f t="shared" si="11"/>
        <v/>
      </c>
      <c r="I222" s="6" t="str">
        <f t="shared" si="10"/>
        <v>mount</v>
      </c>
    </row>
    <row r="223" spans="1:10" x14ac:dyDescent="0.25">
      <c r="A223">
        <v>2</v>
      </c>
      <c r="B223" s="4">
        <v>0.38445601851851857</v>
      </c>
      <c r="D223" s="5" t="s">
        <v>21</v>
      </c>
      <c r="E223" s="5" t="s">
        <v>17</v>
      </c>
      <c r="F223" s="6" t="s">
        <v>20</v>
      </c>
      <c r="G223" s="6" t="str">
        <f t="shared" si="9"/>
        <v>NA</v>
      </c>
      <c r="H223" s="13" t="s">
        <v>29</v>
      </c>
      <c r="I223" s="6" t="str">
        <f t="shared" si="10"/>
        <v>mount</v>
      </c>
    </row>
    <row r="224" spans="1:10" x14ac:dyDescent="0.25">
      <c r="A224">
        <v>2</v>
      </c>
      <c r="B224" s="4">
        <v>0.38465277777777779</v>
      </c>
      <c r="D224" s="5" t="s">
        <v>21</v>
      </c>
      <c r="E224" s="5" t="s">
        <v>14</v>
      </c>
      <c r="G224" s="6" t="str">
        <f t="shared" si="9"/>
        <v/>
      </c>
      <c r="H224" s="13" t="str">
        <f t="shared" si="11"/>
        <v/>
      </c>
      <c r="I224" s="6" t="str">
        <f t="shared" si="10"/>
        <v>mount</v>
      </c>
    </row>
    <row r="225" spans="1:9" x14ac:dyDescent="0.25">
      <c r="A225">
        <v>2</v>
      </c>
      <c r="B225" s="4">
        <v>0.38538194444444446</v>
      </c>
      <c r="C225" s="4">
        <v>0.38571759259259258</v>
      </c>
      <c r="D225" s="5" t="s">
        <v>21</v>
      </c>
      <c r="E225" s="5" t="s">
        <v>17</v>
      </c>
      <c r="F225" s="6" t="s">
        <v>20</v>
      </c>
      <c r="G225" s="6" t="str">
        <f t="shared" si="9"/>
        <v>NA</v>
      </c>
      <c r="H225" s="13" t="s">
        <v>20</v>
      </c>
      <c r="I225" s="6" t="str">
        <f t="shared" si="10"/>
        <v>insemination</v>
      </c>
    </row>
    <row r="226" spans="1:9" x14ac:dyDescent="0.25">
      <c r="A226">
        <v>2</v>
      </c>
      <c r="B226" s="4">
        <v>0.38559027777777777</v>
      </c>
      <c r="D226" s="5" t="s">
        <v>16</v>
      </c>
      <c r="E226" s="5" t="s">
        <v>14</v>
      </c>
      <c r="G226" s="6" t="str">
        <f t="shared" si="9"/>
        <v/>
      </c>
      <c r="H226" s="13" t="str">
        <f t="shared" si="11"/>
        <v/>
      </c>
      <c r="I226" s="6" t="str">
        <f t="shared" si="10"/>
        <v>mount</v>
      </c>
    </row>
    <row r="227" spans="1:9" x14ac:dyDescent="0.25">
      <c r="A227">
        <v>2</v>
      </c>
      <c r="B227" s="4">
        <v>0.38582175925925927</v>
      </c>
      <c r="D227" s="5" t="s">
        <v>21</v>
      </c>
      <c r="E227" s="5" t="s">
        <v>16</v>
      </c>
      <c r="G227" s="6" t="str">
        <f t="shared" si="9"/>
        <v/>
      </c>
      <c r="H227" s="13" t="str">
        <f t="shared" si="11"/>
        <v/>
      </c>
      <c r="I227" s="6" t="str">
        <f t="shared" si="10"/>
        <v>mount</v>
      </c>
    </row>
    <row r="228" spans="1:9" x14ac:dyDescent="0.25">
      <c r="A228">
        <v>2</v>
      </c>
      <c r="B228" s="4">
        <v>0.3863773148148148</v>
      </c>
      <c r="D228" s="5" t="s">
        <v>21</v>
      </c>
      <c r="E228" s="5" t="s">
        <v>21</v>
      </c>
      <c r="G228" s="6" t="str">
        <f t="shared" si="9"/>
        <v/>
      </c>
      <c r="H228" s="13" t="str">
        <f t="shared" si="11"/>
        <v/>
      </c>
      <c r="I228" s="6" t="str">
        <f t="shared" si="10"/>
        <v>mount</v>
      </c>
    </row>
    <row r="229" spans="1:9" x14ac:dyDescent="0.25">
      <c r="A229">
        <v>2</v>
      </c>
      <c r="B229" s="4">
        <v>0.38674768518518521</v>
      </c>
      <c r="D229" s="5" t="s">
        <v>21</v>
      </c>
      <c r="E229" s="5" t="s">
        <v>16</v>
      </c>
      <c r="G229" s="6" t="str">
        <f t="shared" si="9"/>
        <v/>
      </c>
      <c r="H229" s="13" t="str">
        <f t="shared" si="11"/>
        <v/>
      </c>
      <c r="I229" s="6" t="str">
        <f t="shared" si="10"/>
        <v>mount</v>
      </c>
    </row>
    <row r="230" spans="1:9" x14ac:dyDescent="0.25">
      <c r="A230">
        <v>2</v>
      </c>
      <c r="B230" s="4">
        <v>0.38686342592592587</v>
      </c>
      <c r="D230" s="5" t="s">
        <v>12</v>
      </c>
      <c r="E230" s="5" t="s">
        <v>14</v>
      </c>
      <c r="G230" s="6" t="str">
        <f t="shared" si="9"/>
        <v/>
      </c>
      <c r="H230" s="13" t="str">
        <f t="shared" si="11"/>
        <v/>
      </c>
      <c r="I230" s="6" t="str">
        <f t="shared" si="10"/>
        <v>mount</v>
      </c>
    </row>
    <row r="231" spans="1:9" x14ac:dyDescent="0.25">
      <c r="A231">
        <v>2</v>
      </c>
      <c r="B231" s="4">
        <v>0.38692129629629629</v>
      </c>
      <c r="D231" s="5" t="s">
        <v>16</v>
      </c>
      <c r="E231" s="5" t="s">
        <v>21</v>
      </c>
      <c r="G231" s="6" t="str">
        <f t="shared" si="9"/>
        <v/>
      </c>
      <c r="H231" s="13" t="str">
        <f t="shared" si="11"/>
        <v/>
      </c>
      <c r="I231" s="6" t="str">
        <f t="shared" si="10"/>
        <v>mount</v>
      </c>
    </row>
    <row r="232" spans="1:9" x14ac:dyDescent="0.25">
      <c r="A232">
        <v>2</v>
      </c>
      <c r="B232" s="4">
        <v>0.38702546296296297</v>
      </c>
      <c r="D232" s="5" t="s">
        <v>16</v>
      </c>
      <c r="E232" s="5" t="s">
        <v>21</v>
      </c>
      <c r="G232" s="6" t="str">
        <f t="shared" si="9"/>
        <v/>
      </c>
      <c r="H232" s="13" t="str">
        <f t="shared" si="11"/>
        <v/>
      </c>
      <c r="I232" s="6" t="str">
        <f t="shared" si="10"/>
        <v>mount</v>
      </c>
    </row>
    <row r="233" spans="1:9" x14ac:dyDescent="0.25">
      <c r="A233">
        <v>2</v>
      </c>
      <c r="B233" s="4">
        <v>0.38711805555555556</v>
      </c>
      <c r="D233" s="5" t="s">
        <v>21</v>
      </c>
      <c r="E233" s="5" t="s">
        <v>16</v>
      </c>
      <c r="G233" s="6" t="str">
        <f t="shared" si="9"/>
        <v/>
      </c>
      <c r="H233" s="13" t="str">
        <f t="shared" si="11"/>
        <v/>
      </c>
      <c r="I233" s="6" t="str">
        <f t="shared" si="10"/>
        <v>mount</v>
      </c>
    </row>
    <row r="234" spans="1:9" x14ac:dyDescent="0.25">
      <c r="A234">
        <v>2</v>
      </c>
      <c r="B234" s="4">
        <v>0.38721064814814815</v>
      </c>
      <c r="D234" s="5" t="s">
        <v>16</v>
      </c>
      <c r="E234" s="5" t="s">
        <v>21</v>
      </c>
      <c r="G234" s="6" t="str">
        <f t="shared" si="9"/>
        <v/>
      </c>
      <c r="H234" s="13" t="str">
        <f t="shared" si="11"/>
        <v/>
      </c>
      <c r="I234" s="6" t="str">
        <f t="shared" si="10"/>
        <v>mount</v>
      </c>
    </row>
    <row r="235" spans="1:9" x14ac:dyDescent="0.25">
      <c r="A235">
        <v>2</v>
      </c>
      <c r="B235" s="4">
        <v>0.38760416666666669</v>
      </c>
      <c r="D235" s="5" t="s">
        <v>12</v>
      </c>
      <c r="E235" s="5" t="s">
        <v>14</v>
      </c>
      <c r="G235" s="6" t="str">
        <f t="shared" si="9"/>
        <v/>
      </c>
      <c r="H235" s="13" t="str">
        <f t="shared" si="11"/>
        <v/>
      </c>
      <c r="I235" s="6" t="str">
        <f t="shared" si="10"/>
        <v>mount</v>
      </c>
    </row>
    <row r="236" spans="1:9" x14ac:dyDescent="0.25">
      <c r="A236">
        <v>2</v>
      </c>
      <c r="B236" s="4">
        <v>0.38785879629629627</v>
      </c>
      <c r="D236" s="5" t="s">
        <v>16</v>
      </c>
      <c r="E236" s="5" t="s">
        <v>21</v>
      </c>
      <c r="G236" s="6" t="str">
        <f t="shared" si="9"/>
        <v/>
      </c>
      <c r="H236" s="13" t="str">
        <f t="shared" si="11"/>
        <v/>
      </c>
      <c r="I236" s="6" t="str">
        <f t="shared" si="10"/>
        <v>mount</v>
      </c>
    </row>
    <row r="237" spans="1:9" x14ac:dyDescent="0.25">
      <c r="A237">
        <v>2</v>
      </c>
      <c r="B237" s="4">
        <v>0.38793981481481482</v>
      </c>
      <c r="D237" s="5" t="s">
        <v>21</v>
      </c>
      <c r="E237" s="5" t="s">
        <v>16</v>
      </c>
      <c r="G237" s="6" t="str">
        <f t="shared" si="9"/>
        <v/>
      </c>
      <c r="H237" s="13" t="str">
        <f t="shared" si="11"/>
        <v/>
      </c>
      <c r="I237" s="6" t="str">
        <f t="shared" si="10"/>
        <v>mount</v>
      </c>
    </row>
    <row r="238" spans="1:9" x14ac:dyDescent="0.25">
      <c r="A238">
        <v>2</v>
      </c>
      <c r="B238" s="4">
        <v>0.38824074074074072</v>
      </c>
      <c r="D238" s="5" t="s">
        <v>21</v>
      </c>
      <c r="E238" s="5" t="s">
        <v>16</v>
      </c>
      <c r="G238" s="6" t="str">
        <f t="shared" si="9"/>
        <v/>
      </c>
      <c r="H238" s="13" t="str">
        <f t="shared" si="11"/>
        <v/>
      </c>
      <c r="I238" s="6" t="str">
        <f t="shared" si="10"/>
        <v>mount</v>
      </c>
    </row>
    <row r="239" spans="1:9" x14ac:dyDescent="0.25">
      <c r="A239">
        <v>2</v>
      </c>
      <c r="B239" s="4">
        <v>0.39048611111111109</v>
      </c>
      <c r="D239" s="5" t="s">
        <v>21</v>
      </c>
      <c r="E239" s="5" t="s">
        <v>14</v>
      </c>
      <c r="G239" s="6" t="str">
        <f t="shared" si="9"/>
        <v/>
      </c>
      <c r="H239" s="13" t="str">
        <f t="shared" si="11"/>
        <v/>
      </c>
      <c r="I239" s="6" t="str">
        <f t="shared" si="10"/>
        <v>mount</v>
      </c>
    </row>
    <row r="240" spans="1:9" x14ac:dyDescent="0.25">
      <c r="A240">
        <v>2</v>
      </c>
      <c r="B240" s="4">
        <v>0.39054398148148151</v>
      </c>
      <c r="D240" s="5" t="s">
        <v>16</v>
      </c>
      <c r="E240" s="5" t="s">
        <v>21</v>
      </c>
      <c r="G240" s="6" t="str">
        <f t="shared" si="9"/>
        <v/>
      </c>
      <c r="H240" s="13" t="str">
        <f t="shared" si="11"/>
        <v/>
      </c>
      <c r="I240" s="6" t="str">
        <f t="shared" si="10"/>
        <v>mount</v>
      </c>
    </row>
    <row r="241" spans="1:9" x14ac:dyDescent="0.25">
      <c r="A241">
        <v>2</v>
      </c>
      <c r="B241" s="4">
        <v>0.39067129629629632</v>
      </c>
      <c r="C241" s="4">
        <v>0.39108796296296294</v>
      </c>
      <c r="D241" s="5" t="s">
        <v>16</v>
      </c>
      <c r="E241" s="5" t="s">
        <v>17</v>
      </c>
      <c r="F241" s="6" t="s">
        <v>20</v>
      </c>
      <c r="G241" s="6" t="str">
        <f t="shared" si="9"/>
        <v>NA</v>
      </c>
      <c r="H241" s="13" t="s">
        <v>20</v>
      </c>
      <c r="I241" s="6" t="str">
        <f t="shared" si="10"/>
        <v>insemination</v>
      </c>
    </row>
    <row r="242" spans="1:9" x14ac:dyDescent="0.25">
      <c r="A242">
        <v>2</v>
      </c>
      <c r="B242" s="4">
        <v>0.39127314814814818</v>
      </c>
      <c r="D242" s="5" t="s">
        <v>14</v>
      </c>
      <c r="E242" s="5" t="s">
        <v>16</v>
      </c>
      <c r="G242" s="6" t="str">
        <f t="shared" si="9"/>
        <v/>
      </c>
      <c r="H242" s="13" t="str">
        <f t="shared" si="11"/>
        <v/>
      </c>
      <c r="I242" s="6" t="str">
        <f t="shared" si="10"/>
        <v>mount</v>
      </c>
    </row>
    <row r="243" spans="1:9" x14ac:dyDescent="0.25">
      <c r="A243">
        <v>2</v>
      </c>
      <c r="B243" s="4">
        <v>0.39141203703703703</v>
      </c>
      <c r="D243" s="5" t="s">
        <v>14</v>
      </c>
      <c r="E243" s="5" t="s">
        <v>12</v>
      </c>
      <c r="G243" s="6" t="str">
        <f t="shared" si="9"/>
        <v/>
      </c>
      <c r="H243" s="13" t="str">
        <f t="shared" si="11"/>
        <v/>
      </c>
      <c r="I243" s="6" t="str">
        <f t="shared" si="10"/>
        <v>mount</v>
      </c>
    </row>
    <row r="244" spans="1:9" x14ac:dyDescent="0.25">
      <c r="A244">
        <v>2</v>
      </c>
      <c r="B244" s="4">
        <v>0.39185185185185184</v>
      </c>
      <c r="D244" s="5" t="s">
        <v>12</v>
      </c>
      <c r="E244" s="5" t="s">
        <v>21</v>
      </c>
      <c r="G244" s="6" t="str">
        <f t="shared" si="9"/>
        <v/>
      </c>
      <c r="H244" s="13" t="str">
        <f t="shared" si="11"/>
        <v/>
      </c>
      <c r="I244" s="6" t="str">
        <f t="shared" si="10"/>
        <v>mount</v>
      </c>
    </row>
    <row r="245" spans="1:9" x14ac:dyDescent="0.25">
      <c r="A245">
        <v>2</v>
      </c>
      <c r="B245" s="4">
        <v>0.39245370370370369</v>
      </c>
      <c r="D245" s="5" t="s">
        <v>12</v>
      </c>
      <c r="E245" s="5" t="s">
        <v>16</v>
      </c>
      <c r="G245" s="6" t="str">
        <f t="shared" si="9"/>
        <v/>
      </c>
      <c r="H245" s="13" t="str">
        <f t="shared" si="11"/>
        <v/>
      </c>
      <c r="I245" s="6" t="str">
        <f t="shared" si="10"/>
        <v>mount</v>
      </c>
    </row>
    <row r="246" spans="1:9" x14ac:dyDescent="0.25">
      <c r="A246">
        <v>2</v>
      </c>
      <c r="B246" s="4">
        <v>0.39596064814814813</v>
      </c>
      <c r="C246" s="4"/>
      <c r="D246" s="5" t="s">
        <v>14</v>
      </c>
      <c r="E246" s="5" t="s">
        <v>17</v>
      </c>
      <c r="F246" s="6" t="s">
        <v>20</v>
      </c>
      <c r="G246" s="6" t="str">
        <f t="shared" si="9"/>
        <v>NA</v>
      </c>
      <c r="H246" s="13" t="s">
        <v>29</v>
      </c>
      <c r="I246" s="6" t="str">
        <f t="shared" si="10"/>
        <v>mount</v>
      </c>
    </row>
    <row r="247" spans="1:9" x14ac:dyDescent="0.25">
      <c r="A247">
        <v>2</v>
      </c>
      <c r="B247" s="4">
        <v>0.39608796296296295</v>
      </c>
      <c r="D247" s="5" t="s">
        <v>14</v>
      </c>
      <c r="E247" s="5" t="s">
        <v>21</v>
      </c>
      <c r="G247" s="6" t="str">
        <f t="shared" si="9"/>
        <v/>
      </c>
      <c r="H247" s="13" t="str">
        <f t="shared" si="11"/>
        <v/>
      </c>
      <c r="I247" s="6" t="str">
        <f t="shared" si="10"/>
        <v>mount</v>
      </c>
    </row>
    <row r="248" spans="1:9" x14ac:dyDescent="0.25">
      <c r="A248">
        <v>2</v>
      </c>
      <c r="B248" s="4">
        <v>0.39636574074074077</v>
      </c>
      <c r="D248" s="5" t="s">
        <v>14</v>
      </c>
      <c r="E248" s="5" t="s">
        <v>21</v>
      </c>
      <c r="G248" s="6" t="str">
        <f t="shared" si="9"/>
        <v/>
      </c>
      <c r="H248" s="13" t="str">
        <f t="shared" si="11"/>
        <v/>
      </c>
      <c r="I248" s="6" t="str">
        <f t="shared" si="10"/>
        <v>mount</v>
      </c>
    </row>
    <row r="249" spans="1:9" x14ac:dyDescent="0.25">
      <c r="A249">
        <v>2</v>
      </c>
      <c r="B249" s="4">
        <v>0.39657407407407402</v>
      </c>
      <c r="D249" s="5" t="s">
        <v>14</v>
      </c>
      <c r="E249" s="5" t="s">
        <v>16</v>
      </c>
      <c r="G249" s="6" t="str">
        <f t="shared" si="9"/>
        <v/>
      </c>
      <c r="H249" s="13" t="str">
        <f t="shared" si="11"/>
        <v/>
      </c>
      <c r="I249" s="6" t="str">
        <f t="shared" si="10"/>
        <v>mount</v>
      </c>
    </row>
    <row r="250" spans="1:9" x14ac:dyDescent="0.25">
      <c r="A250">
        <v>2</v>
      </c>
      <c r="B250" s="4">
        <v>0.39702546296296298</v>
      </c>
      <c r="D250" s="5" t="s">
        <v>12</v>
      </c>
      <c r="E250" s="5" t="s">
        <v>21</v>
      </c>
      <c r="G250" s="6" t="str">
        <f t="shared" si="9"/>
        <v/>
      </c>
      <c r="H250" s="13" t="str">
        <f t="shared" si="11"/>
        <v/>
      </c>
      <c r="I250" s="6" t="str">
        <f t="shared" si="10"/>
        <v>mount</v>
      </c>
    </row>
    <row r="251" spans="1:9" x14ac:dyDescent="0.25">
      <c r="A251">
        <v>2</v>
      </c>
      <c r="B251" s="4">
        <v>0.42203703703703704</v>
      </c>
      <c r="D251" s="5" t="s">
        <v>16</v>
      </c>
      <c r="E251" s="5" t="s">
        <v>17</v>
      </c>
      <c r="F251" s="6" t="s">
        <v>20</v>
      </c>
      <c r="G251" s="6" t="str">
        <f t="shared" si="9"/>
        <v>NA</v>
      </c>
      <c r="H251" s="13" t="s">
        <v>29</v>
      </c>
      <c r="I251" s="6" t="str">
        <f t="shared" si="10"/>
        <v>mount</v>
      </c>
    </row>
    <row r="252" spans="1:9" x14ac:dyDescent="0.25">
      <c r="A252">
        <v>2</v>
      </c>
      <c r="B252" s="4">
        <v>0.4287731481481481</v>
      </c>
      <c r="D252" s="7" t="s">
        <v>15</v>
      </c>
      <c r="E252" s="5" t="s">
        <v>35</v>
      </c>
      <c r="F252" s="6" t="s">
        <v>20</v>
      </c>
      <c r="G252" s="6" t="s">
        <v>20</v>
      </c>
      <c r="H252" s="13" t="s">
        <v>29</v>
      </c>
      <c r="I252" s="6" t="str">
        <f t="shared" si="10"/>
        <v>mount</v>
      </c>
    </row>
    <row r="253" spans="1:9" x14ac:dyDescent="0.25">
      <c r="A253">
        <v>2</v>
      </c>
      <c r="B253" s="4">
        <v>0.43219907407407404</v>
      </c>
      <c r="C253" s="4">
        <v>0.43238425925925927</v>
      </c>
      <c r="D253" s="5" t="s">
        <v>15</v>
      </c>
      <c r="E253" s="5" t="s">
        <v>35</v>
      </c>
      <c r="F253" s="6" t="s">
        <v>20</v>
      </c>
      <c r="G253" s="6" t="str">
        <f t="shared" si="9"/>
        <v>NA</v>
      </c>
      <c r="H253" s="13" t="s">
        <v>20</v>
      </c>
      <c r="I253" s="6" t="str">
        <f t="shared" si="10"/>
        <v>insemination</v>
      </c>
    </row>
    <row r="254" spans="1:9" x14ac:dyDescent="0.25">
      <c r="A254">
        <v>2</v>
      </c>
      <c r="B254" s="4">
        <v>0.43815972222222221</v>
      </c>
      <c r="D254" s="5" t="s">
        <v>16</v>
      </c>
      <c r="E254" s="5" t="s">
        <v>17</v>
      </c>
      <c r="F254" s="6" t="s">
        <v>20</v>
      </c>
      <c r="G254" s="6" t="str">
        <f t="shared" si="9"/>
        <v>NA</v>
      </c>
      <c r="H254" s="13" t="s">
        <v>29</v>
      </c>
      <c r="I254" s="6" t="str">
        <f t="shared" si="10"/>
        <v>mount</v>
      </c>
    </row>
    <row r="255" spans="1:9" x14ac:dyDescent="0.25">
      <c r="A255">
        <v>2</v>
      </c>
      <c r="B255" s="4">
        <v>0.43964120370370369</v>
      </c>
      <c r="D255" s="5" t="s">
        <v>12</v>
      </c>
      <c r="E255" s="5" t="s">
        <v>21</v>
      </c>
      <c r="G255" s="6" t="str">
        <f t="shared" si="9"/>
        <v/>
      </c>
      <c r="H255" s="13" t="str">
        <f t="shared" si="11"/>
        <v/>
      </c>
      <c r="I255" s="6" t="str">
        <f t="shared" si="10"/>
        <v>mount</v>
      </c>
    </row>
    <row r="256" spans="1:9" x14ac:dyDescent="0.25">
      <c r="A256">
        <v>2</v>
      </c>
      <c r="B256" s="4">
        <v>0.4433449074074074</v>
      </c>
      <c r="D256" s="5" t="s">
        <v>16</v>
      </c>
      <c r="E256" s="5" t="s">
        <v>17</v>
      </c>
      <c r="F256" s="6" t="s">
        <v>20</v>
      </c>
      <c r="G256" s="6" t="str">
        <f t="shared" si="9"/>
        <v>NA</v>
      </c>
      <c r="H256" s="13" t="s">
        <v>29</v>
      </c>
      <c r="I256" s="6" t="str">
        <f t="shared" si="10"/>
        <v>mount</v>
      </c>
    </row>
    <row r="257" spans="1:10" x14ac:dyDescent="0.25">
      <c r="A257">
        <v>2</v>
      </c>
      <c r="B257" s="4">
        <v>0.44835648148148149</v>
      </c>
      <c r="D257" s="5" t="s">
        <v>12</v>
      </c>
      <c r="E257" s="5" t="s">
        <v>14</v>
      </c>
      <c r="G257" s="6" t="str">
        <f t="shared" si="9"/>
        <v/>
      </c>
      <c r="H257" s="13" t="str">
        <f t="shared" si="11"/>
        <v/>
      </c>
      <c r="I257" s="6" t="str">
        <f t="shared" si="10"/>
        <v>mount</v>
      </c>
    </row>
    <row r="258" spans="1:10" x14ac:dyDescent="0.25">
      <c r="A258">
        <v>2</v>
      </c>
      <c r="B258" s="4">
        <v>0.44849537037037041</v>
      </c>
      <c r="D258" s="5" t="s">
        <v>12</v>
      </c>
      <c r="E258" s="5" t="s">
        <v>14</v>
      </c>
      <c r="G258" s="6" t="str">
        <f t="shared" si="9"/>
        <v/>
      </c>
      <c r="H258" s="13" t="str">
        <f t="shared" si="11"/>
        <v/>
      </c>
      <c r="I258" s="6" t="str">
        <f t="shared" si="10"/>
        <v>mount</v>
      </c>
    </row>
    <row r="259" spans="1:10" x14ac:dyDescent="0.25">
      <c r="A259">
        <v>2</v>
      </c>
      <c r="B259" s="4">
        <v>0.4486342592592592</v>
      </c>
      <c r="D259" s="5" t="s">
        <v>16</v>
      </c>
      <c r="E259" s="5" t="s">
        <v>14</v>
      </c>
      <c r="G259" s="6" t="str">
        <f t="shared" ref="G259:G321" si="12">IF(F259 = "n", "NA", "")</f>
        <v/>
      </c>
      <c r="H259" s="13" t="str">
        <f t="shared" ref="H259:H319" si="13">IF(G259 = "y", "NA", "")</f>
        <v/>
      </c>
      <c r="I259" s="6" t="str">
        <f t="shared" ref="I259:I322" si="14">IF(H259="n", "insemination", "mount")</f>
        <v>mount</v>
      </c>
    </row>
    <row r="260" spans="1:10" x14ac:dyDescent="0.25">
      <c r="A260">
        <v>2</v>
      </c>
      <c r="B260" s="4">
        <v>0.45048611111111114</v>
      </c>
      <c r="D260" s="5" t="s">
        <v>16</v>
      </c>
      <c r="E260" s="5" t="s">
        <v>26</v>
      </c>
      <c r="F260" s="6" t="s">
        <v>20</v>
      </c>
      <c r="G260" s="6" t="str">
        <f t="shared" si="12"/>
        <v>NA</v>
      </c>
      <c r="H260" s="13" t="s">
        <v>29</v>
      </c>
      <c r="I260" s="6" t="str">
        <f t="shared" si="14"/>
        <v>mount</v>
      </c>
    </row>
    <row r="261" spans="1:10" x14ac:dyDescent="0.25">
      <c r="A261">
        <v>2</v>
      </c>
      <c r="B261" s="4">
        <v>0.45346064814814818</v>
      </c>
      <c r="D261" s="5" t="s">
        <v>15</v>
      </c>
      <c r="E261" s="5" t="s">
        <v>28</v>
      </c>
      <c r="F261" s="6" t="s">
        <v>20</v>
      </c>
      <c r="G261" s="6" t="str">
        <f t="shared" si="12"/>
        <v>NA</v>
      </c>
      <c r="H261" s="13" t="s">
        <v>29</v>
      </c>
      <c r="I261" s="6" t="str">
        <f t="shared" si="14"/>
        <v>mount</v>
      </c>
    </row>
    <row r="262" spans="1:10" x14ac:dyDescent="0.25">
      <c r="A262">
        <v>2</v>
      </c>
      <c r="B262" s="4">
        <v>0.47134259259259265</v>
      </c>
      <c r="D262" s="5" t="s">
        <v>21</v>
      </c>
      <c r="E262" s="5" t="s">
        <v>34</v>
      </c>
      <c r="F262" s="6" t="s">
        <v>29</v>
      </c>
      <c r="G262" s="6" t="s">
        <v>29</v>
      </c>
      <c r="H262" s="13" t="str">
        <f t="shared" si="13"/>
        <v>NA</v>
      </c>
      <c r="I262" s="6" t="str">
        <f t="shared" si="14"/>
        <v>mount</v>
      </c>
    </row>
    <row r="263" spans="1:10" x14ac:dyDescent="0.25">
      <c r="A263">
        <v>2</v>
      </c>
      <c r="B263" s="4">
        <v>0.47248842592592594</v>
      </c>
      <c r="D263" s="5" t="s">
        <v>13</v>
      </c>
      <c r="E263" s="5" t="s">
        <v>21</v>
      </c>
      <c r="G263" s="6" t="str">
        <f t="shared" si="12"/>
        <v/>
      </c>
      <c r="H263" s="13" t="str">
        <f t="shared" si="13"/>
        <v/>
      </c>
      <c r="I263" s="6" t="str">
        <f t="shared" si="14"/>
        <v>mount</v>
      </c>
    </row>
    <row r="264" spans="1:10" x14ac:dyDescent="0.25">
      <c r="A264">
        <v>2</v>
      </c>
      <c r="B264" s="4">
        <v>0.47319444444444447</v>
      </c>
      <c r="D264" s="5" t="s">
        <v>18</v>
      </c>
      <c r="E264" s="5" t="s">
        <v>22</v>
      </c>
      <c r="G264" s="6" t="str">
        <f t="shared" si="12"/>
        <v/>
      </c>
      <c r="H264" s="13" t="str">
        <f t="shared" si="13"/>
        <v/>
      </c>
      <c r="I264" s="6" t="str">
        <f t="shared" si="14"/>
        <v>mount</v>
      </c>
      <c r="J264" s="15"/>
    </row>
    <row r="265" spans="1:10" x14ac:dyDescent="0.25">
      <c r="A265">
        <v>2</v>
      </c>
      <c r="B265" s="4">
        <v>0.47490740740740739</v>
      </c>
      <c r="C265" s="4">
        <v>0.47518518518518515</v>
      </c>
      <c r="D265" s="5" t="s">
        <v>14</v>
      </c>
      <c r="E265" s="5" t="s">
        <v>17</v>
      </c>
      <c r="F265" s="6" t="s">
        <v>20</v>
      </c>
      <c r="G265" s="6" t="str">
        <f t="shared" si="12"/>
        <v>NA</v>
      </c>
      <c r="H265" s="13" t="s">
        <v>20</v>
      </c>
      <c r="I265" s="6" t="str">
        <f t="shared" si="14"/>
        <v>insemination</v>
      </c>
    </row>
    <row r="266" spans="1:10" x14ac:dyDescent="0.25">
      <c r="A266">
        <v>2</v>
      </c>
      <c r="B266" s="4">
        <v>0.47565972222222225</v>
      </c>
      <c r="D266" s="5" t="s">
        <v>18</v>
      </c>
      <c r="E266" s="5" t="s">
        <v>22</v>
      </c>
      <c r="G266" s="6" t="str">
        <f t="shared" si="12"/>
        <v/>
      </c>
      <c r="H266" s="13" t="str">
        <f t="shared" si="13"/>
        <v/>
      </c>
      <c r="I266" s="6" t="str">
        <f t="shared" si="14"/>
        <v>mount</v>
      </c>
    </row>
    <row r="267" spans="1:10" x14ac:dyDescent="0.25">
      <c r="A267">
        <v>2</v>
      </c>
      <c r="B267" s="4">
        <v>0.47675925925925927</v>
      </c>
      <c r="D267" s="5" t="s">
        <v>21</v>
      </c>
      <c r="E267" s="5" t="s">
        <v>13</v>
      </c>
      <c r="G267" s="6" t="str">
        <f t="shared" si="12"/>
        <v/>
      </c>
      <c r="H267" s="13" t="str">
        <f t="shared" si="13"/>
        <v/>
      </c>
      <c r="I267" s="6" t="str">
        <f t="shared" si="14"/>
        <v>mount</v>
      </c>
    </row>
    <row r="268" spans="1:10" x14ac:dyDescent="0.25">
      <c r="A268">
        <v>2</v>
      </c>
      <c r="B268" s="4">
        <v>0.47839120370370369</v>
      </c>
      <c r="D268" s="5" t="s">
        <v>21</v>
      </c>
      <c r="E268" s="5" t="s">
        <v>13</v>
      </c>
      <c r="G268" s="6" t="str">
        <f t="shared" si="12"/>
        <v/>
      </c>
      <c r="H268" s="13" t="str">
        <f t="shared" si="13"/>
        <v/>
      </c>
      <c r="I268" s="6" t="str">
        <f t="shared" si="14"/>
        <v>mount</v>
      </c>
    </row>
    <row r="269" spans="1:10" x14ac:dyDescent="0.25">
      <c r="A269">
        <v>2</v>
      </c>
      <c r="B269" s="4">
        <v>0.47879629629629633</v>
      </c>
      <c r="D269" s="5" t="s">
        <v>18</v>
      </c>
      <c r="E269" s="5" t="s">
        <v>34</v>
      </c>
      <c r="F269" s="6" t="s">
        <v>20</v>
      </c>
      <c r="G269" s="6" t="str">
        <f t="shared" si="12"/>
        <v>NA</v>
      </c>
      <c r="H269" s="13" t="s">
        <v>29</v>
      </c>
      <c r="I269" s="6" t="str">
        <f t="shared" si="14"/>
        <v>mount</v>
      </c>
    </row>
    <row r="270" spans="1:10" x14ac:dyDescent="0.25">
      <c r="A270">
        <v>2</v>
      </c>
      <c r="B270" s="4">
        <v>0.48372685185185182</v>
      </c>
      <c r="D270" s="5" t="s">
        <v>12</v>
      </c>
      <c r="E270" s="5" t="s">
        <v>14</v>
      </c>
      <c r="G270" s="6" t="str">
        <f t="shared" si="12"/>
        <v/>
      </c>
      <c r="H270" s="13" t="str">
        <f t="shared" si="13"/>
        <v/>
      </c>
      <c r="I270" s="6" t="str">
        <f t="shared" si="14"/>
        <v>mount</v>
      </c>
    </row>
    <row r="271" spans="1:10" x14ac:dyDescent="0.25">
      <c r="A271">
        <v>2</v>
      </c>
      <c r="B271" s="4">
        <v>0.4838425925925926</v>
      </c>
      <c r="D271" s="5" t="s">
        <v>12</v>
      </c>
      <c r="E271" s="5" t="s">
        <v>16</v>
      </c>
      <c r="G271" s="6" t="str">
        <f t="shared" si="12"/>
        <v/>
      </c>
      <c r="H271" s="13" t="str">
        <f t="shared" si="13"/>
        <v/>
      </c>
      <c r="I271" s="6" t="str">
        <f t="shared" si="14"/>
        <v>mount</v>
      </c>
    </row>
    <row r="272" spans="1:10" x14ac:dyDescent="0.25">
      <c r="A272">
        <v>2</v>
      </c>
      <c r="B272" s="4">
        <v>0.48768518518518517</v>
      </c>
      <c r="D272" s="5" t="s">
        <v>13</v>
      </c>
      <c r="E272" s="5" t="s">
        <v>21</v>
      </c>
      <c r="G272" s="6" t="str">
        <f t="shared" si="12"/>
        <v/>
      </c>
      <c r="H272" s="13" t="str">
        <f t="shared" si="13"/>
        <v/>
      </c>
      <c r="I272" s="6" t="str">
        <f t="shared" si="14"/>
        <v>mount</v>
      </c>
    </row>
    <row r="273" spans="1:9" x14ac:dyDescent="0.25">
      <c r="A273">
        <v>2</v>
      </c>
      <c r="B273" s="4">
        <v>0.48796296296296293</v>
      </c>
      <c r="D273" s="5" t="s">
        <v>12</v>
      </c>
      <c r="E273" s="5" t="s">
        <v>26</v>
      </c>
      <c r="F273" s="6" t="s">
        <v>29</v>
      </c>
      <c r="G273" s="6" t="s">
        <v>29</v>
      </c>
      <c r="H273" s="13" t="str">
        <f t="shared" si="13"/>
        <v>NA</v>
      </c>
      <c r="I273" s="6" t="str">
        <f t="shared" si="14"/>
        <v>mount</v>
      </c>
    </row>
    <row r="274" spans="1:9" x14ac:dyDescent="0.25">
      <c r="A274">
        <v>2</v>
      </c>
      <c r="B274" s="4">
        <v>0.48864583333333328</v>
      </c>
      <c r="D274" s="5" t="s">
        <v>13</v>
      </c>
      <c r="E274" s="5" t="s">
        <v>21</v>
      </c>
      <c r="G274" s="6" t="str">
        <f t="shared" si="12"/>
        <v/>
      </c>
      <c r="H274" s="13" t="str">
        <f t="shared" si="13"/>
        <v/>
      </c>
      <c r="I274" s="6" t="str">
        <f t="shared" si="14"/>
        <v>mount</v>
      </c>
    </row>
    <row r="275" spans="1:9" x14ac:dyDescent="0.25">
      <c r="A275">
        <v>2</v>
      </c>
      <c r="B275" s="4">
        <v>0.49412037037037032</v>
      </c>
      <c r="D275" s="5" t="s">
        <v>18</v>
      </c>
      <c r="E275" s="5" t="s">
        <v>34</v>
      </c>
      <c r="F275" s="6" t="s">
        <v>29</v>
      </c>
      <c r="G275" s="6" t="s">
        <v>29</v>
      </c>
      <c r="H275" s="13" t="str">
        <f t="shared" si="13"/>
        <v>NA</v>
      </c>
      <c r="I275" s="6" t="str">
        <f t="shared" si="14"/>
        <v>mount</v>
      </c>
    </row>
    <row r="276" spans="1:9" x14ac:dyDescent="0.25">
      <c r="A276">
        <v>2</v>
      </c>
      <c r="B276" s="4">
        <v>0.50225694444444446</v>
      </c>
      <c r="D276" s="5" t="s">
        <v>18</v>
      </c>
      <c r="E276" s="5" t="s">
        <v>34</v>
      </c>
      <c r="F276" s="6" t="s">
        <v>29</v>
      </c>
      <c r="G276" s="6" t="s">
        <v>20</v>
      </c>
      <c r="H276" s="13" t="s">
        <v>29</v>
      </c>
      <c r="I276" s="6" t="str">
        <f t="shared" si="14"/>
        <v>mount</v>
      </c>
    </row>
    <row r="277" spans="1:9" x14ac:dyDescent="0.25">
      <c r="A277">
        <v>2</v>
      </c>
      <c r="B277" s="4">
        <v>0.50240740740740741</v>
      </c>
      <c r="D277" s="5" t="s">
        <v>15</v>
      </c>
      <c r="E277" s="5" t="s">
        <v>19</v>
      </c>
      <c r="F277" s="6" t="s">
        <v>29</v>
      </c>
      <c r="G277" s="6" t="s">
        <v>29</v>
      </c>
      <c r="H277" s="13" t="str">
        <f t="shared" si="13"/>
        <v>NA</v>
      </c>
      <c r="I277" s="6" t="str">
        <f t="shared" si="14"/>
        <v>mount</v>
      </c>
    </row>
    <row r="278" spans="1:9" x14ac:dyDescent="0.25">
      <c r="A278">
        <v>2</v>
      </c>
      <c r="B278" s="4">
        <v>0.51063657407407403</v>
      </c>
      <c r="D278" s="5" t="s">
        <v>15</v>
      </c>
      <c r="E278" s="5" t="s">
        <v>27</v>
      </c>
      <c r="F278" s="6" t="s">
        <v>20</v>
      </c>
      <c r="G278" s="6" t="str">
        <f t="shared" si="12"/>
        <v>NA</v>
      </c>
      <c r="H278" s="13" t="s">
        <v>29</v>
      </c>
      <c r="I278" s="6" t="str">
        <f t="shared" si="14"/>
        <v>mount</v>
      </c>
    </row>
    <row r="279" spans="1:9" x14ac:dyDescent="0.25">
      <c r="A279">
        <v>2</v>
      </c>
      <c r="B279" s="4">
        <v>0.51493055555555556</v>
      </c>
      <c r="D279" s="5" t="s">
        <v>12</v>
      </c>
      <c r="E279" s="5" t="s">
        <v>14</v>
      </c>
      <c r="G279" s="6" t="str">
        <f t="shared" si="12"/>
        <v/>
      </c>
      <c r="H279" s="13" t="str">
        <f t="shared" si="13"/>
        <v/>
      </c>
      <c r="I279" s="6" t="str">
        <f t="shared" si="14"/>
        <v>mount</v>
      </c>
    </row>
    <row r="280" spans="1:9" x14ac:dyDescent="0.25">
      <c r="A280">
        <v>2</v>
      </c>
      <c r="B280" s="4">
        <v>0.51609953703703704</v>
      </c>
      <c r="D280" s="5" t="s">
        <v>13</v>
      </c>
      <c r="E280" s="5" t="s">
        <v>21</v>
      </c>
      <c r="G280" s="6" t="str">
        <f t="shared" si="12"/>
        <v/>
      </c>
      <c r="H280" s="13" t="str">
        <f t="shared" si="13"/>
        <v/>
      </c>
      <c r="I280" s="6" t="str">
        <f t="shared" si="14"/>
        <v>mount</v>
      </c>
    </row>
    <row r="281" spans="1:9" x14ac:dyDescent="0.25">
      <c r="A281">
        <v>2</v>
      </c>
      <c r="B281" s="4">
        <v>0.51619212962962957</v>
      </c>
      <c r="D281" s="5" t="s">
        <v>13</v>
      </c>
      <c r="E281" s="5" t="s">
        <v>21</v>
      </c>
      <c r="G281" s="6" t="str">
        <f t="shared" si="12"/>
        <v/>
      </c>
      <c r="H281" s="13" t="str">
        <f t="shared" si="13"/>
        <v/>
      </c>
      <c r="I281" s="6" t="str">
        <f t="shared" si="14"/>
        <v>mount</v>
      </c>
    </row>
    <row r="282" spans="1:9" x14ac:dyDescent="0.25">
      <c r="A282">
        <v>2</v>
      </c>
      <c r="B282" s="4">
        <v>0.51671296296296299</v>
      </c>
      <c r="D282" s="5" t="s">
        <v>13</v>
      </c>
      <c r="E282" s="5" t="s">
        <v>21</v>
      </c>
      <c r="G282" s="6" t="str">
        <f t="shared" si="12"/>
        <v/>
      </c>
      <c r="H282" s="13" t="str">
        <f t="shared" si="13"/>
        <v/>
      </c>
      <c r="I282" s="6" t="str">
        <f t="shared" si="14"/>
        <v>mount</v>
      </c>
    </row>
    <row r="283" spans="1:9" x14ac:dyDescent="0.25">
      <c r="A283">
        <v>2</v>
      </c>
      <c r="B283" s="4">
        <v>0.51701388888888888</v>
      </c>
      <c r="D283" s="5" t="s">
        <v>13</v>
      </c>
      <c r="E283" s="5" t="s">
        <v>21</v>
      </c>
      <c r="G283" s="6" t="str">
        <f t="shared" si="12"/>
        <v/>
      </c>
      <c r="H283" s="13" t="str">
        <f t="shared" si="13"/>
        <v/>
      </c>
      <c r="I283" s="6" t="str">
        <f t="shared" si="14"/>
        <v>mount</v>
      </c>
    </row>
    <row r="284" spans="1:9" x14ac:dyDescent="0.25">
      <c r="A284">
        <v>2</v>
      </c>
      <c r="B284" s="4">
        <v>0.51710648148148153</v>
      </c>
      <c r="D284" s="5" t="s">
        <v>21</v>
      </c>
      <c r="E284" s="5" t="s">
        <v>13</v>
      </c>
      <c r="G284" s="6" t="str">
        <f t="shared" si="12"/>
        <v/>
      </c>
      <c r="H284" s="13" t="str">
        <f t="shared" si="13"/>
        <v/>
      </c>
      <c r="I284" s="6" t="str">
        <f t="shared" si="14"/>
        <v>mount</v>
      </c>
    </row>
    <row r="285" spans="1:9" x14ac:dyDescent="0.25">
      <c r="A285">
        <v>2</v>
      </c>
      <c r="B285" s="4">
        <v>0.53188657407407403</v>
      </c>
      <c r="D285" s="5" t="s">
        <v>13</v>
      </c>
      <c r="E285" s="5" t="s">
        <v>21</v>
      </c>
      <c r="G285" s="6" t="str">
        <f t="shared" si="12"/>
        <v/>
      </c>
      <c r="H285" s="13" t="str">
        <f t="shared" si="13"/>
        <v/>
      </c>
      <c r="I285" s="6" t="str">
        <f t="shared" si="14"/>
        <v>mount</v>
      </c>
    </row>
    <row r="286" spans="1:9" x14ac:dyDescent="0.25">
      <c r="A286">
        <v>2</v>
      </c>
      <c r="B286" s="4">
        <v>0.53628472222222223</v>
      </c>
      <c r="D286" s="5" t="s">
        <v>14</v>
      </c>
      <c r="E286" s="5" t="s">
        <v>12</v>
      </c>
      <c r="G286" s="6" t="str">
        <f t="shared" si="12"/>
        <v/>
      </c>
      <c r="H286" s="13" t="str">
        <f t="shared" si="13"/>
        <v/>
      </c>
      <c r="I286" s="6" t="str">
        <f t="shared" si="14"/>
        <v>mount</v>
      </c>
    </row>
    <row r="287" spans="1:9" x14ac:dyDescent="0.25">
      <c r="A287">
        <v>2</v>
      </c>
      <c r="B287" s="4">
        <v>0.53810185185185189</v>
      </c>
      <c r="D287" s="5" t="s">
        <v>14</v>
      </c>
      <c r="E287" s="5" t="s">
        <v>12</v>
      </c>
      <c r="G287" s="6" t="str">
        <f t="shared" si="12"/>
        <v/>
      </c>
      <c r="H287" s="13" t="str">
        <f t="shared" si="13"/>
        <v/>
      </c>
      <c r="I287" s="6" t="str">
        <f t="shared" si="14"/>
        <v>mount</v>
      </c>
    </row>
    <row r="288" spans="1:9" x14ac:dyDescent="0.25">
      <c r="B288" s="4">
        <v>0.54740740740740745</v>
      </c>
      <c r="D288" s="5" t="s">
        <v>12</v>
      </c>
      <c r="E288" s="5" t="s">
        <v>17</v>
      </c>
      <c r="F288" s="6" t="s">
        <v>20</v>
      </c>
      <c r="G288" s="6" t="str">
        <f t="shared" si="12"/>
        <v>NA</v>
      </c>
      <c r="H288" s="13" t="s">
        <v>29</v>
      </c>
      <c r="I288" s="6" t="str">
        <f t="shared" si="14"/>
        <v>mount</v>
      </c>
    </row>
    <row r="289" spans="2:9" x14ac:dyDescent="0.25">
      <c r="B289" s="4">
        <v>0.55033564814814817</v>
      </c>
      <c r="D289" s="5" t="s">
        <v>12</v>
      </c>
      <c r="E289" s="5" t="s">
        <v>16</v>
      </c>
      <c r="G289" s="6" t="str">
        <f t="shared" si="12"/>
        <v/>
      </c>
      <c r="H289" s="13" t="str">
        <f t="shared" si="13"/>
        <v/>
      </c>
      <c r="I289" s="6" t="str">
        <f t="shared" si="14"/>
        <v>mount</v>
      </c>
    </row>
    <row r="290" spans="2:9" x14ac:dyDescent="0.25">
      <c r="B290" s="4">
        <v>0.55045138888888889</v>
      </c>
      <c r="D290" s="5" t="s">
        <v>16</v>
      </c>
      <c r="E290" s="5" t="s">
        <v>26</v>
      </c>
      <c r="F290" s="6" t="s">
        <v>29</v>
      </c>
      <c r="G290" s="6" t="s">
        <v>29</v>
      </c>
      <c r="H290" s="13" t="str">
        <f t="shared" si="13"/>
        <v>NA</v>
      </c>
      <c r="I290" s="6" t="str">
        <f t="shared" si="14"/>
        <v>mount</v>
      </c>
    </row>
    <row r="291" spans="2:9" x14ac:dyDescent="0.25">
      <c r="B291" s="4">
        <v>0.55333333333333334</v>
      </c>
      <c r="D291" s="5" t="s">
        <v>15</v>
      </c>
      <c r="E291" s="5" t="s">
        <v>34</v>
      </c>
      <c r="F291" s="6" t="s">
        <v>20</v>
      </c>
      <c r="G291" s="6" t="str">
        <f t="shared" si="12"/>
        <v>NA</v>
      </c>
      <c r="H291" s="13" t="s">
        <v>29</v>
      </c>
      <c r="I291" s="6" t="str">
        <f t="shared" si="14"/>
        <v>mount</v>
      </c>
    </row>
    <row r="292" spans="2:9" x14ac:dyDescent="0.25">
      <c r="B292" s="4">
        <v>0.55343750000000003</v>
      </c>
      <c r="D292" s="5" t="s">
        <v>15</v>
      </c>
      <c r="E292" s="5" t="s">
        <v>18</v>
      </c>
      <c r="G292" s="6" t="str">
        <f t="shared" si="12"/>
        <v/>
      </c>
      <c r="H292" s="13" t="str">
        <f t="shared" si="13"/>
        <v/>
      </c>
      <c r="I292" s="6" t="str">
        <f t="shared" si="14"/>
        <v>mount</v>
      </c>
    </row>
    <row r="293" spans="2:9" x14ac:dyDescent="0.25">
      <c r="B293" s="4">
        <v>0.55353009259259256</v>
      </c>
      <c r="C293" s="4">
        <v>0.55385416666666665</v>
      </c>
      <c r="D293" s="5" t="s">
        <v>18</v>
      </c>
      <c r="E293" s="5" t="s">
        <v>23</v>
      </c>
      <c r="F293" s="6" t="s">
        <v>20</v>
      </c>
      <c r="G293" s="6" t="str">
        <f t="shared" si="12"/>
        <v>NA</v>
      </c>
      <c r="H293" s="13" t="s">
        <v>20</v>
      </c>
      <c r="I293" s="6" t="str">
        <f t="shared" si="14"/>
        <v>insemination</v>
      </c>
    </row>
    <row r="294" spans="2:9" x14ac:dyDescent="0.25">
      <c r="B294" s="4">
        <v>0.55386574074074069</v>
      </c>
      <c r="D294" s="5" t="s">
        <v>15</v>
      </c>
      <c r="E294" s="5" t="s">
        <v>18</v>
      </c>
      <c r="G294" s="6" t="str">
        <f t="shared" si="12"/>
        <v/>
      </c>
      <c r="H294" s="13" t="str">
        <f t="shared" si="13"/>
        <v/>
      </c>
      <c r="I294" s="6" t="str">
        <f t="shared" si="14"/>
        <v>mount</v>
      </c>
    </row>
    <row r="295" spans="2:9" x14ac:dyDescent="0.25">
      <c r="B295" s="4">
        <v>0.55417824074074074</v>
      </c>
      <c r="D295" s="5" t="s">
        <v>12</v>
      </c>
      <c r="E295" s="5" t="s">
        <v>16</v>
      </c>
      <c r="G295" s="6" t="str">
        <f t="shared" si="12"/>
        <v/>
      </c>
      <c r="H295" s="13" t="str">
        <f t="shared" si="13"/>
        <v/>
      </c>
      <c r="I295" s="6" t="str">
        <f t="shared" si="14"/>
        <v>mount</v>
      </c>
    </row>
    <row r="296" spans="2:9" x14ac:dyDescent="0.25">
      <c r="B296" s="4">
        <v>0.55466435185185181</v>
      </c>
      <c r="D296" s="5" t="s">
        <v>22</v>
      </c>
      <c r="E296" s="5" t="s">
        <v>27</v>
      </c>
      <c r="F296" s="6" t="s">
        <v>29</v>
      </c>
      <c r="G296" s="6" t="s">
        <v>29</v>
      </c>
      <c r="H296" s="13" t="str">
        <f t="shared" si="13"/>
        <v>NA</v>
      </c>
      <c r="I296" s="6" t="str">
        <f t="shared" si="14"/>
        <v>mount</v>
      </c>
    </row>
    <row r="297" spans="2:9" x14ac:dyDescent="0.25">
      <c r="B297" s="4">
        <v>0.5548495370370371</v>
      </c>
      <c r="D297" s="5" t="s">
        <v>18</v>
      </c>
      <c r="E297" s="5" t="s">
        <v>34</v>
      </c>
      <c r="G297" s="6" t="str">
        <f t="shared" si="12"/>
        <v/>
      </c>
      <c r="H297" s="13" t="str">
        <f t="shared" si="13"/>
        <v/>
      </c>
      <c r="I297" s="6" t="str">
        <f t="shared" si="14"/>
        <v>mount</v>
      </c>
    </row>
    <row r="298" spans="2:9" x14ac:dyDescent="0.25">
      <c r="B298" s="4">
        <v>0.55504629629629632</v>
      </c>
      <c r="C298" s="4">
        <v>0.55559027777777781</v>
      </c>
      <c r="D298" s="5" t="s">
        <v>22</v>
      </c>
      <c r="E298" s="5" t="s">
        <v>27</v>
      </c>
      <c r="F298" s="6" t="s">
        <v>20</v>
      </c>
      <c r="G298" s="6" t="str">
        <f t="shared" si="12"/>
        <v>NA</v>
      </c>
      <c r="H298" s="13" t="s">
        <v>20</v>
      </c>
      <c r="I298" s="6" t="str">
        <f t="shared" si="14"/>
        <v>insemination</v>
      </c>
    </row>
    <row r="299" spans="2:9" x14ac:dyDescent="0.25">
      <c r="B299" s="4">
        <v>0.555150462962963</v>
      </c>
      <c r="D299" s="5" t="s">
        <v>18</v>
      </c>
      <c r="E299" s="5" t="s">
        <v>34</v>
      </c>
      <c r="F299" s="6" t="s">
        <v>20</v>
      </c>
      <c r="G299" s="6" t="str">
        <f t="shared" si="12"/>
        <v>NA</v>
      </c>
      <c r="H299" s="13" t="s">
        <v>29</v>
      </c>
      <c r="I299" s="6" t="str">
        <f t="shared" si="14"/>
        <v>mount</v>
      </c>
    </row>
    <row r="300" spans="2:9" x14ac:dyDescent="0.25">
      <c r="B300" s="4">
        <v>0.55535879629629636</v>
      </c>
      <c r="C300" s="4">
        <v>0.55563657407407407</v>
      </c>
      <c r="D300" s="5" t="s">
        <v>15</v>
      </c>
      <c r="E300" s="5" t="s">
        <v>34</v>
      </c>
      <c r="G300" s="6" t="str">
        <f t="shared" si="12"/>
        <v/>
      </c>
      <c r="H300" s="13" t="str">
        <f t="shared" si="13"/>
        <v/>
      </c>
      <c r="I300" s="6" t="str">
        <f t="shared" si="14"/>
        <v>mount</v>
      </c>
    </row>
    <row r="301" spans="2:9" x14ac:dyDescent="0.25">
      <c r="B301" s="4">
        <v>0.55590277777777775</v>
      </c>
      <c r="C301" s="4">
        <v>0.55608796296296303</v>
      </c>
      <c r="D301" s="5" t="s">
        <v>12</v>
      </c>
      <c r="E301" s="5" t="s">
        <v>26</v>
      </c>
      <c r="F301" s="6" t="s">
        <v>20</v>
      </c>
      <c r="G301" s="6" t="str">
        <f t="shared" si="12"/>
        <v>NA</v>
      </c>
      <c r="H301" s="13" t="s">
        <v>20</v>
      </c>
      <c r="I301" s="6" t="str">
        <f t="shared" si="14"/>
        <v>insemination</v>
      </c>
    </row>
    <row r="302" spans="2:9" x14ac:dyDescent="0.25">
      <c r="B302" s="4">
        <v>0.55640046296296297</v>
      </c>
      <c r="D302" s="5" t="s">
        <v>18</v>
      </c>
      <c r="E302" s="5" t="s">
        <v>15</v>
      </c>
      <c r="G302" s="6" t="str">
        <f t="shared" si="12"/>
        <v/>
      </c>
      <c r="H302" s="13" t="str">
        <f t="shared" si="13"/>
        <v/>
      </c>
      <c r="I302" s="6" t="str">
        <f t="shared" si="14"/>
        <v>mount</v>
      </c>
    </row>
    <row r="303" spans="2:9" x14ac:dyDescent="0.25">
      <c r="B303" s="4">
        <v>0.55701388888888892</v>
      </c>
      <c r="D303" s="5" t="s">
        <v>18</v>
      </c>
      <c r="E303" s="5" t="s">
        <v>19</v>
      </c>
      <c r="F303" s="6" t="s">
        <v>29</v>
      </c>
      <c r="G303" s="6" t="s">
        <v>29</v>
      </c>
      <c r="H303" s="13" t="str">
        <f t="shared" si="13"/>
        <v>NA</v>
      </c>
      <c r="I303" s="6" t="str">
        <f t="shared" si="14"/>
        <v>mount</v>
      </c>
    </row>
    <row r="304" spans="2:9" x14ac:dyDescent="0.25">
      <c r="B304" s="4">
        <v>0.55740740740740746</v>
      </c>
      <c r="D304" s="5" t="s">
        <v>22</v>
      </c>
      <c r="E304" s="5" t="s">
        <v>28</v>
      </c>
      <c r="F304" s="6" t="s">
        <v>29</v>
      </c>
      <c r="G304" s="6" t="s">
        <v>29</v>
      </c>
      <c r="H304" s="13" t="str">
        <f t="shared" si="13"/>
        <v>NA</v>
      </c>
      <c r="I304" s="6" t="str">
        <f t="shared" si="14"/>
        <v>mount</v>
      </c>
    </row>
    <row r="305" spans="2:9" x14ac:dyDescent="0.25">
      <c r="B305" s="4">
        <v>0.55765046296296295</v>
      </c>
      <c r="D305" s="5" t="s">
        <v>18</v>
      </c>
      <c r="E305" s="5" t="s">
        <v>23</v>
      </c>
      <c r="F305" s="6" t="s">
        <v>29</v>
      </c>
      <c r="G305" s="6" t="s">
        <v>29</v>
      </c>
      <c r="H305" s="13" t="s">
        <v>40</v>
      </c>
      <c r="I305" s="6" t="str">
        <f t="shared" si="14"/>
        <v>mount</v>
      </c>
    </row>
    <row r="306" spans="2:9" x14ac:dyDescent="0.25">
      <c r="B306" s="4">
        <v>0.55822916666666667</v>
      </c>
      <c r="D306" s="5" t="s">
        <v>22</v>
      </c>
      <c r="E306" s="5" t="s">
        <v>28</v>
      </c>
      <c r="F306" s="6" t="s">
        <v>29</v>
      </c>
      <c r="G306" s="6" t="s">
        <v>29</v>
      </c>
      <c r="H306" s="13" t="str">
        <f t="shared" si="13"/>
        <v>NA</v>
      </c>
      <c r="I306" s="6" t="str">
        <f t="shared" si="14"/>
        <v>mount</v>
      </c>
    </row>
    <row r="307" spans="2:9" x14ac:dyDescent="0.25">
      <c r="B307" s="4">
        <v>0.55836805555555558</v>
      </c>
      <c r="D307" s="5" t="s">
        <v>22</v>
      </c>
      <c r="E307" s="5" t="s">
        <v>28</v>
      </c>
      <c r="G307" s="6" t="str">
        <f t="shared" si="12"/>
        <v/>
      </c>
      <c r="H307" s="13" t="str">
        <f t="shared" si="13"/>
        <v/>
      </c>
      <c r="I307" s="6" t="str">
        <f t="shared" si="14"/>
        <v>mount</v>
      </c>
    </row>
    <row r="308" spans="2:9" x14ac:dyDescent="0.25">
      <c r="B308" s="4">
        <v>0.55861111111111106</v>
      </c>
      <c r="D308" s="5" t="s">
        <v>18</v>
      </c>
      <c r="E308" s="5" t="s">
        <v>19</v>
      </c>
      <c r="F308" s="6" t="s">
        <v>29</v>
      </c>
      <c r="G308" s="6" t="s">
        <v>29</v>
      </c>
      <c r="H308" s="13" t="str">
        <f t="shared" si="13"/>
        <v>NA</v>
      </c>
      <c r="I308" s="6" t="str">
        <f t="shared" si="14"/>
        <v>mount</v>
      </c>
    </row>
    <row r="309" spans="2:9" x14ac:dyDescent="0.25">
      <c r="B309" s="4">
        <v>0.55873842592592593</v>
      </c>
      <c r="D309" s="5" t="s">
        <v>18</v>
      </c>
      <c r="E309" s="5" t="s">
        <v>15</v>
      </c>
      <c r="G309" s="6" t="str">
        <f t="shared" si="12"/>
        <v/>
      </c>
      <c r="H309" s="13" t="str">
        <f t="shared" si="13"/>
        <v/>
      </c>
      <c r="I309" s="6" t="str">
        <f t="shared" si="14"/>
        <v>mount</v>
      </c>
    </row>
    <row r="310" spans="2:9" x14ac:dyDescent="0.25">
      <c r="B310" s="4">
        <v>0.55915509259259266</v>
      </c>
      <c r="D310" s="5" t="s">
        <v>18</v>
      </c>
      <c r="E310" s="5" t="s">
        <v>28</v>
      </c>
      <c r="F310" s="6" t="s">
        <v>20</v>
      </c>
      <c r="G310" s="6" t="str">
        <f t="shared" si="12"/>
        <v>NA</v>
      </c>
      <c r="H310" s="13" t="s">
        <v>29</v>
      </c>
      <c r="I310" s="6" t="str">
        <f t="shared" si="14"/>
        <v>mount</v>
      </c>
    </row>
    <row r="311" spans="2:9" x14ac:dyDescent="0.25">
      <c r="B311" s="4">
        <v>0.56062500000000004</v>
      </c>
      <c r="D311" s="5" t="s">
        <v>18</v>
      </c>
      <c r="E311" s="5" t="s">
        <v>15</v>
      </c>
      <c r="G311" s="6" t="str">
        <f t="shared" si="12"/>
        <v/>
      </c>
      <c r="H311" s="13" t="str">
        <f t="shared" si="13"/>
        <v/>
      </c>
      <c r="I311" s="6" t="str">
        <f t="shared" si="14"/>
        <v>mount</v>
      </c>
    </row>
    <row r="312" spans="2:9" x14ac:dyDescent="0.25">
      <c r="B312" s="4">
        <v>0.56074074074074076</v>
      </c>
      <c r="D312" s="5" t="s">
        <v>18</v>
      </c>
      <c r="E312" s="5" t="s">
        <v>19</v>
      </c>
      <c r="F312" s="6" t="s">
        <v>29</v>
      </c>
      <c r="G312" s="6" t="s">
        <v>29</v>
      </c>
      <c r="H312" s="13" t="str">
        <f t="shared" si="13"/>
        <v>NA</v>
      </c>
      <c r="I312" s="6" t="str">
        <f t="shared" si="14"/>
        <v>mount</v>
      </c>
    </row>
    <row r="313" spans="2:9" x14ac:dyDescent="0.25">
      <c r="B313" s="4">
        <v>0.56101851851851847</v>
      </c>
      <c r="D313" s="5" t="s">
        <v>18</v>
      </c>
      <c r="E313" s="5" t="s">
        <v>23</v>
      </c>
      <c r="F313" s="6" t="s">
        <v>29</v>
      </c>
      <c r="G313" s="6" t="s">
        <v>29</v>
      </c>
      <c r="H313" s="13" t="str">
        <f t="shared" si="13"/>
        <v>NA</v>
      </c>
      <c r="I313" s="6" t="str">
        <f t="shared" si="14"/>
        <v>mount</v>
      </c>
    </row>
    <row r="314" spans="2:9" x14ac:dyDescent="0.25">
      <c r="B314" s="4">
        <v>0.56175925925925929</v>
      </c>
      <c r="D314" s="5" t="s">
        <v>15</v>
      </c>
      <c r="E314" s="5" t="s">
        <v>18</v>
      </c>
      <c r="G314" s="6" t="str">
        <f t="shared" si="12"/>
        <v/>
      </c>
      <c r="H314" s="13" t="str">
        <f t="shared" si="13"/>
        <v/>
      </c>
      <c r="I314" s="6" t="str">
        <f t="shared" si="14"/>
        <v>mount</v>
      </c>
    </row>
    <row r="315" spans="2:9" x14ac:dyDescent="0.25">
      <c r="B315" s="4">
        <v>0.5626620370370371</v>
      </c>
      <c r="D315" s="5" t="s">
        <v>18</v>
      </c>
      <c r="E315" s="5" t="s">
        <v>34</v>
      </c>
      <c r="F315" s="6" t="s">
        <v>29</v>
      </c>
      <c r="G315" s="6" t="s">
        <v>20</v>
      </c>
      <c r="H315" s="13" t="s">
        <v>29</v>
      </c>
      <c r="I315" s="6" t="str">
        <f t="shared" si="14"/>
        <v>mount</v>
      </c>
    </row>
    <row r="316" spans="2:9" x14ac:dyDescent="0.25">
      <c r="B316" s="4">
        <v>0.56532407407407403</v>
      </c>
      <c r="D316" s="5" t="s">
        <v>15</v>
      </c>
      <c r="E316" s="5" t="s">
        <v>19</v>
      </c>
      <c r="F316" s="6" t="s">
        <v>20</v>
      </c>
      <c r="G316" s="6" t="str">
        <f t="shared" si="12"/>
        <v>NA</v>
      </c>
      <c r="H316" s="13" t="s">
        <v>29</v>
      </c>
      <c r="I316" s="6" t="str">
        <f t="shared" si="14"/>
        <v>mount</v>
      </c>
    </row>
    <row r="317" spans="2:9" x14ac:dyDescent="0.25">
      <c r="B317" s="4">
        <v>0.56587962962962968</v>
      </c>
      <c r="D317" s="5" t="s">
        <v>18</v>
      </c>
      <c r="E317" s="5" t="s">
        <v>15</v>
      </c>
      <c r="G317" s="6" t="str">
        <f t="shared" si="12"/>
        <v/>
      </c>
      <c r="H317" s="13" t="str">
        <f t="shared" si="13"/>
        <v/>
      </c>
      <c r="I317" s="6" t="str">
        <f t="shared" si="14"/>
        <v>mount</v>
      </c>
    </row>
    <row r="318" spans="2:9" x14ac:dyDescent="0.25">
      <c r="B318" s="4">
        <v>0.57527777777777778</v>
      </c>
      <c r="D318" s="5" t="s">
        <v>18</v>
      </c>
      <c r="E318" s="5" t="s">
        <v>15</v>
      </c>
      <c r="G318" s="6" t="str">
        <f t="shared" si="12"/>
        <v/>
      </c>
      <c r="H318" s="13" t="str">
        <f t="shared" si="13"/>
        <v/>
      </c>
      <c r="I318" s="6" t="str">
        <f t="shared" si="14"/>
        <v>mount</v>
      </c>
    </row>
    <row r="319" spans="2:9" x14ac:dyDescent="0.25">
      <c r="B319" s="4">
        <v>0.57803240740740736</v>
      </c>
      <c r="C319" s="7" t="s">
        <v>41</v>
      </c>
      <c r="D319" s="5" t="s">
        <v>18</v>
      </c>
      <c r="E319" s="5" t="s">
        <v>15</v>
      </c>
      <c r="G319" s="6" t="str">
        <f t="shared" si="12"/>
        <v/>
      </c>
      <c r="H319" s="13" t="str">
        <f t="shared" si="13"/>
        <v/>
      </c>
      <c r="I319" s="6" t="str">
        <f t="shared" si="14"/>
        <v>mount</v>
      </c>
    </row>
    <row r="320" spans="2:9" x14ac:dyDescent="0.25">
      <c r="B320" s="4">
        <v>0.57872685185185191</v>
      </c>
      <c r="D320" s="5" t="s">
        <v>18</v>
      </c>
      <c r="E320" s="5" t="s">
        <v>19</v>
      </c>
      <c r="F320" s="6" t="s">
        <v>20</v>
      </c>
      <c r="G320" s="6" t="str">
        <f t="shared" si="12"/>
        <v>NA</v>
      </c>
      <c r="H320" s="13" t="s">
        <v>29</v>
      </c>
      <c r="I320" s="6" t="str">
        <f t="shared" si="14"/>
        <v>mount</v>
      </c>
    </row>
    <row r="321" spans="2:10" x14ac:dyDescent="0.25">
      <c r="B321" s="4">
        <v>0.57979166666666659</v>
      </c>
      <c r="D321" s="5" t="s">
        <v>18</v>
      </c>
      <c r="E321" s="5" t="s">
        <v>19</v>
      </c>
      <c r="F321" s="6" t="s">
        <v>20</v>
      </c>
      <c r="G321" s="6" t="str">
        <f t="shared" si="12"/>
        <v>NA</v>
      </c>
      <c r="H321" s="13" t="s">
        <v>29</v>
      </c>
      <c r="I321" s="6" t="str">
        <f t="shared" si="14"/>
        <v>mount</v>
      </c>
    </row>
    <row r="322" spans="2:10" x14ac:dyDescent="0.25">
      <c r="B322" s="4">
        <v>0.58600694444444446</v>
      </c>
      <c r="D322" s="5" t="s">
        <v>12</v>
      </c>
      <c r="E322" s="5" t="s">
        <v>26</v>
      </c>
      <c r="F322" s="6" t="s">
        <v>29</v>
      </c>
      <c r="G322" s="6" t="s">
        <v>29</v>
      </c>
      <c r="H322" s="13" t="s">
        <v>40</v>
      </c>
      <c r="I322" s="6" t="str">
        <f t="shared" si="14"/>
        <v>mount</v>
      </c>
    </row>
    <row r="323" spans="2:10" x14ac:dyDescent="0.25">
      <c r="B323" s="4">
        <v>0.59380787037037031</v>
      </c>
      <c r="C323" s="4">
        <v>0.5941319444444445</v>
      </c>
      <c r="D323" s="5" t="s">
        <v>22</v>
      </c>
      <c r="E323" s="5" t="s">
        <v>27</v>
      </c>
      <c r="F323" s="6" t="s">
        <v>29</v>
      </c>
      <c r="G323" s="6" t="s">
        <v>20</v>
      </c>
      <c r="H323" s="13" t="s">
        <v>20</v>
      </c>
      <c r="I323" s="6" t="str">
        <f t="shared" ref="I323:I345" si="15">IF(H323="n", "insemination", "mount")</f>
        <v>insemination</v>
      </c>
    </row>
    <row r="324" spans="2:10" x14ac:dyDescent="0.25">
      <c r="B324" s="4">
        <v>0.59908564814814813</v>
      </c>
      <c r="C324" s="4">
        <v>0.59936342592592595</v>
      </c>
      <c r="D324" s="5" t="s">
        <v>14</v>
      </c>
      <c r="E324" s="5" t="s">
        <v>27</v>
      </c>
      <c r="F324" s="6" t="s">
        <v>29</v>
      </c>
      <c r="G324" s="6" t="s">
        <v>20</v>
      </c>
      <c r="H324" s="13" t="s">
        <v>20</v>
      </c>
      <c r="I324" s="6" t="str">
        <f t="shared" si="15"/>
        <v>insemination</v>
      </c>
    </row>
    <row r="325" spans="2:10" x14ac:dyDescent="0.25">
      <c r="B325" s="4">
        <v>0.60003472222222221</v>
      </c>
      <c r="D325" s="5" t="s">
        <v>21</v>
      </c>
      <c r="E325" s="5" t="s">
        <v>27</v>
      </c>
      <c r="F325" s="6" t="s">
        <v>29</v>
      </c>
      <c r="G325" s="6" t="s">
        <v>29</v>
      </c>
      <c r="H325" s="13" t="str">
        <f t="shared" ref="H325:H345" si="16">IF(G325 = "y", "NA", "")</f>
        <v>NA</v>
      </c>
      <c r="I325" s="6" t="str">
        <f t="shared" si="15"/>
        <v>mount</v>
      </c>
    </row>
    <row r="326" spans="2:10" x14ac:dyDescent="0.25">
      <c r="B326" s="4">
        <v>0.60033564814814822</v>
      </c>
      <c r="D326" s="5" t="s">
        <v>13</v>
      </c>
      <c r="E326" s="5" t="s">
        <v>27</v>
      </c>
      <c r="F326" s="6" t="s">
        <v>20</v>
      </c>
      <c r="G326" s="6" t="str">
        <f t="shared" ref="G326:G343" si="17">IF(F326 = "n", "NA", "")</f>
        <v>NA</v>
      </c>
      <c r="H326" s="13" t="s">
        <v>29</v>
      </c>
      <c r="I326" s="6" t="str">
        <f t="shared" si="15"/>
        <v>mount</v>
      </c>
    </row>
    <row r="327" spans="2:10" x14ac:dyDescent="0.25">
      <c r="B327" s="4">
        <v>0.60184027777777771</v>
      </c>
      <c r="D327" s="5" t="s">
        <v>21</v>
      </c>
      <c r="E327" s="5" t="s">
        <v>27</v>
      </c>
      <c r="F327" s="6" t="s">
        <v>29</v>
      </c>
      <c r="G327" s="6" t="s">
        <v>29</v>
      </c>
      <c r="H327" s="13" t="str">
        <f t="shared" si="16"/>
        <v>NA</v>
      </c>
      <c r="I327" s="6" t="str">
        <f t="shared" si="15"/>
        <v>mount</v>
      </c>
      <c r="J327" s="15"/>
    </row>
    <row r="328" spans="2:10" x14ac:dyDescent="0.25">
      <c r="B328" s="4">
        <v>0.60559027777777774</v>
      </c>
      <c r="D328" s="5" t="s">
        <v>18</v>
      </c>
      <c r="E328" s="5" t="s">
        <v>19</v>
      </c>
      <c r="F328" s="6" t="s">
        <v>29</v>
      </c>
      <c r="G328" s="6" t="s">
        <v>29</v>
      </c>
      <c r="H328" s="13" t="str">
        <f t="shared" si="16"/>
        <v>NA</v>
      </c>
      <c r="I328" s="6" t="str">
        <f t="shared" si="15"/>
        <v>mount</v>
      </c>
    </row>
    <row r="329" spans="2:10" x14ac:dyDescent="0.25">
      <c r="B329" s="4">
        <v>0.60609953703703701</v>
      </c>
      <c r="D329" s="5" t="s">
        <v>15</v>
      </c>
      <c r="E329" s="5" t="s">
        <v>18</v>
      </c>
      <c r="G329" s="6" t="str">
        <f t="shared" si="17"/>
        <v/>
      </c>
      <c r="H329" s="13" t="str">
        <f t="shared" si="16"/>
        <v/>
      </c>
      <c r="I329" s="6" t="str">
        <f t="shared" si="15"/>
        <v>mount</v>
      </c>
    </row>
    <row r="330" spans="2:10" x14ac:dyDescent="0.25">
      <c r="B330" s="4">
        <v>0.60637731481481483</v>
      </c>
      <c r="D330" s="5" t="s">
        <v>18</v>
      </c>
      <c r="E330" s="5" t="s">
        <v>19</v>
      </c>
      <c r="F330" s="6" t="s">
        <v>29</v>
      </c>
      <c r="G330" s="6" t="s">
        <v>29</v>
      </c>
      <c r="H330" s="13" t="str">
        <f t="shared" si="16"/>
        <v>NA</v>
      </c>
      <c r="I330" s="6" t="str">
        <f t="shared" si="15"/>
        <v>mount</v>
      </c>
    </row>
    <row r="331" spans="2:10" x14ac:dyDescent="0.25">
      <c r="B331" s="4">
        <v>0.60688657407407409</v>
      </c>
      <c r="C331" s="4"/>
      <c r="D331" s="5" t="s">
        <v>18</v>
      </c>
      <c r="E331" s="5" t="s">
        <v>35</v>
      </c>
      <c r="F331" s="6" t="s">
        <v>29</v>
      </c>
      <c r="G331" s="6" t="s">
        <v>29</v>
      </c>
      <c r="H331" s="13" t="str">
        <f t="shared" si="16"/>
        <v>NA</v>
      </c>
      <c r="I331" s="6" t="str">
        <f t="shared" si="15"/>
        <v>mount</v>
      </c>
    </row>
    <row r="332" spans="2:10" x14ac:dyDescent="0.25">
      <c r="B332" s="4">
        <v>0.6153819444444445</v>
      </c>
      <c r="D332" s="5" t="s">
        <v>18</v>
      </c>
      <c r="E332" s="5" t="s">
        <v>23</v>
      </c>
      <c r="F332" s="6" t="s">
        <v>29</v>
      </c>
      <c r="G332" s="6" t="s">
        <v>29</v>
      </c>
      <c r="H332" s="13" t="str">
        <f t="shared" si="16"/>
        <v>NA</v>
      </c>
      <c r="I332" s="6" t="str">
        <f t="shared" si="15"/>
        <v>mount</v>
      </c>
    </row>
    <row r="333" spans="2:10" x14ac:dyDescent="0.25">
      <c r="B333" s="4">
        <v>0.61667824074074074</v>
      </c>
      <c r="D333" s="5" t="s">
        <v>18</v>
      </c>
      <c r="E333" s="5" t="s">
        <v>27</v>
      </c>
      <c r="F333" s="6" t="s">
        <v>20</v>
      </c>
      <c r="G333" s="6" t="str">
        <f t="shared" si="17"/>
        <v>NA</v>
      </c>
      <c r="H333" s="13" t="s">
        <v>29</v>
      </c>
      <c r="I333" s="6" t="str">
        <f t="shared" si="15"/>
        <v>mount</v>
      </c>
    </row>
    <row r="334" spans="2:10" x14ac:dyDescent="0.25">
      <c r="B334" s="4">
        <v>0.61723379629629627</v>
      </c>
      <c r="D334" s="5" t="s">
        <v>15</v>
      </c>
      <c r="E334" s="5" t="s">
        <v>27</v>
      </c>
      <c r="F334" s="6" t="s">
        <v>20</v>
      </c>
      <c r="G334" s="6" t="str">
        <f t="shared" si="17"/>
        <v>NA</v>
      </c>
      <c r="H334" s="13" t="s">
        <v>29</v>
      </c>
      <c r="I334" s="6" t="str">
        <f t="shared" si="15"/>
        <v>mount</v>
      </c>
    </row>
    <row r="335" spans="2:10" x14ac:dyDescent="0.25">
      <c r="B335" s="4">
        <v>0.61818287037037034</v>
      </c>
      <c r="D335" s="5" t="s">
        <v>18</v>
      </c>
      <c r="E335" s="5" t="s">
        <v>27</v>
      </c>
      <c r="F335" s="6" t="s">
        <v>29</v>
      </c>
      <c r="G335" s="6" t="s">
        <v>20</v>
      </c>
      <c r="H335" s="13" t="s">
        <v>29</v>
      </c>
      <c r="I335" s="6" t="str">
        <f t="shared" si="15"/>
        <v>mount</v>
      </c>
    </row>
    <row r="336" spans="2:10" x14ac:dyDescent="0.25">
      <c r="B336" s="4">
        <v>0.63996527777777779</v>
      </c>
      <c r="D336" s="5" t="s">
        <v>22</v>
      </c>
      <c r="E336" s="5" t="s">
        <v>27</v>
      </c>
      <c r="F336" s="6" t="s">
        <v>29</v>
      </c>
      <c r="G336" s="6" t="s">
        <v>29</v>
      </c>
      <c r="H336" s="13" t="str">
        <f t="shared" si="16"/>
        <v>NA</v>
      </c>
      <c r="I336" s="6" t="str">
        <f t="shared" si="15"/>
        <v>mount</v>
      </c>
    </row>
    <row r="337" spans="2:9" x14ac:dyDescent="0.25">
      <c r="B337" s="4">
        <v>0.64608796296296289</v>
      </c>
      <c r="C337" s="4">
        <v>0.6463078703703703</v>
      </c>
      <c r="D337" s="5" t="s">
        <v>21</v>
      </c>
      <c r="E337" s="5" t="s">
        <v>27</v>
      </c>
      <c r="F337" s="6" t="s">
        <v>29</v>
      </c>
      <c r="G337" s="6" t="s">
        <v>20</v>
      </c>
      <c r="H337" s="13" t="s">
        <v>20</v>
      </c>
      <c r="I337" s="6" t="str">
        <f t="shared" si="15"/>
        <v>insemination</v>
      </c>
    </row>
    <row r="338" spans="2:9" x14ac:dyDescent="0.25">
      <c r="B338" s="4">
        <v>0.64739583333333328</v>
      </c>
      <c r="D338" s="5" t="s">
        <v>13</v>
      </c>
      <c r="E338" s="5" t="s">
        <v>27</v>
      </c>
      <c r="F338" s="6" t="s">
        <v>29</v>
      </c>
      <c r="G338" s="6" t="s">
        <v>29</v>
      </c>
      <c r="H338" s="13" t="str">
        <f t="shared" si="16"/>
        <v>NA</v>
      </c>
      <c r="I338" s="6" t="str">
        <f t="shared" si="15"/>
        <v>mount</v>
      </c>
    </row>
    <row r="339" spans="2:9" x14ac:dyDescent="0.25">
      <c r="B339" s="4">
        <v>0.64796296296296296</v>
      </c>
      <c r="D339" s="5" t="s">
        <v>21</v>
      </c>
      <c r="E339" s="5" t="s">
        <v>27</v>
      </c>
      <c r="F339" s="6" t="s">
        <v>20</v>
      </c>
      <c r="G339" s="6" t="str">
        <f t="shared" si="17"/>
        <v>NA</v>
      </c>
      <c r="H339" s="13" t="s">
        <v>29</v>
      </c>
      <c r="I339" s="6" t="str">
        <f t="shared" si="15"/>
        <v>mount</v>
      </c>
    </row>
    <row r="340" spans="2:9" x14ac:dyDescent="0.25">
      <c r="B340" s="4">
        <v>0.64903935185185191</v>
      </c>
      <c r="D340" s="5" t="s">
        <v>21</v>
      </c>
      <c r="E340" s="5" t="s">
        <v>27</v>
      </c>
      <c r="F340" s="6" t="s">
        <v>29</v>
      </c>
      <c r="G340" s="6" t="s">
        <v>29</v>
      </c>
      <c r="H340" s="13" t="str">
        <f t="shared" si="16"/>
        <v>NA</v>
      </c>
      <c r="I340" s="6" t="str">
        <f t="shared" si="15"/>
        <v>mount</v>
      </c>
    </row>
    <row r="341" spans="2:9" x14ac:dyDescent="0.25">
      <c r="B341" s="4">
        <v>0.66061342592592587</v>
      </c>
      <c r="D341" s="5" t="s">
        <v>15</v>
      </c>
      <c r="E341" s="5" t="s">
        <v>27</v>
      </c>
      <c r="F341" s="6" t="s">
        <v>20</v>
      </c>
      <c r="G341" s="6" t="str">
        <f t="shared" si="17"/>
        <v>NA</v>
      </c>
      <c r="H341" s="13" t="s">
        <v>29</v>
      </c>
      <c r="I341" s="6" t="str">
        <f t="shared" si="15"/>
        <v>mount</v>
      </c>
    </row>
    <row r="342" spans="2:9" x14ac:dyDescent="0.25">
      <c r="B342" s="4">
        <v>0.66075231481481478</v>
      </c>
      <c r="D342" s="5" t="s">
        <v>18</v>
      </c>
      <c r="E342" s="5" t="s">
        <v>27</v>
      </c>
      <c r="F342" s="6" t="s">
        <v>29</v>
      </c>
      <c r="G342" s="6" t="s">
        <v>20</v>
      </c>
      <c r="H342" s="13" t="s">
        <v>29</v>
      </c>
      <c r="I342" s="6" t="str">
        <f t="shared" si="15"/>
        <v>mount</v>
      </c>
    </row>
    <row r="343" spans="2:9" x14ac:dyDescent="0.25">
      <c r="B343" s="4">
        <v>0.66187499999999999</v>
      </c>
      <c r="D343" s="5" t="s">
        <v>15</v>
      </c>
      <c r="E343" s="5" t="s">
        <v>27</v>
      </c>
      <c r="F343" s="6" t="s">
        <v>20</v>
      </c>
      <c r="G343" s="6" t="str">
        <f t="shared" si="17"/>
        <v>NA</v>
      </c>
      <c r="H343" s="13" t="s">
        <v>29</v>
      </c>
      <c r="I343" s="6" t="str">
        <f t="shared" si="15"/>
        <v>mount</v>
      </c>
    </row>
    <row r="344" spans="2:9" x14ac:dyDescent="0.25">
      <c r="B344" s="4">
        <v>0.66237268518518522</v>
      </c>
      <c r="C344" s="4"/>
      <c r="D344" s="5" t="s">
        <v>15</v>
      </c>
      <c r="E344" s="5" t="s">
        <v>27</v>
      </c>
      <c r="F344" s="6" t="s">
        <v>29</v>
      </c>
      <c r="G344" s="6" t="s">
        <v>29</v>
      </c>
      <c r="H344" s="13" t="str">
        <f t="shared" si="16"/>
        <v>NA</v>
      </c>
      <c r="I344" s="6" t="str">
        <f t="shared" si="15"/>
        <v>mount</v>
      </c>
    </row>
    <row r="345" spans="2:9" x14ac:dyDescent="0.25">
      <c r="B345" s="4">
        <v>0.66289351851851852</v>
      </c>
      <c r="D345" s="5" t="s">
        <v>22</v>
      </c>
      <c r="E345" s="5" t="s">
        <v>19</v>
      </c>
      <c r="F345" s="6" t="s">
        <v>29</v>
      </c>
      <c r="G345" s="6" t="s">
        <v>29</v>
      </c>
      <c r="H345" s="13" t="str">
        <f t="shared" si="16"/>
        <v>NA</v>
      </c>
      <c r="I345" s="6" t="str">
        <f t="shared" si="15"/>
        <v>mount</v>
      </c>
    </row>
    <row r="346" spans="2:9" x14ac:dyDescent="0.25">
      <c r="G346" s="6" t="str">
        <f t="shared" ref="G346:G375" si="18">IF(F346 = "n", "NA", "")</f>
        <v/>
      </c>
      <c r="H346" s="13" t="str">
        <f t="shared" ref="H346:H375" si="19">IF(G346 = "y", "NA", "")</f>
        <v/>
      </c>
    </row>
    <row r="347" spans="2:9" x14ac:dyDescent="0.25">
      <c r="G347" s="6" t="str">
        <f t="shared" si="18"/>
        <v/>
      </c>
      <c r="H347" s="13" t="str">
        <f t="shared" si="19"/>
        <v/>
      </c>
    </row>
    <row r="348" spans="2:9" x14ac:dyDescent="0.25">
      <c r="G348" s="6" t="str">
        <f t="shared" si="18"/>
        <v/>
      </c>
      <c r="H348" s="13" t="str">
        <f t="shared" si="19"/>
        <v/>
      </c>
    </row>
    <row r="349" spans="2:9" x14ac:dyDescent="0.25">
      <c r="G349" s="6" t="str">
        <f t="shared" si="18"/>
        <v/>
      </c>
      <c r="H349" s="13" t="str">
        <f t="shared" si="19"/>
        <v/>
      </c>
    </row>
    <row r="350" spans="2:9" x14ac:dyDescent="0.25">
      <c r="G350" s="6" t="str">
        <f t="shared" si="18"/>
        <v/>
      </c>
      <c r="H350" s="13" t="str">
        <f t="shared" si="19"/>
        <v/>
      </c>
    </row>
    <row r="351" spans="2:9" x14ac:dyDescent="0.25">
      <c r="G351" s="6" t="str">
        <f t="shared" si="18"/>
        <v/>
      </c>
      <c r="H351" s="13" t="str">
        <f t="shared" si="19"/>
        <v/>
      </c>
    </row>
    <row r="352" spans="2:9" x14ac:dyDescent="0.25">
      <c r="G352" s="6" t="str">
        <f t="shared" si="18"/>
        <v/>
      </c>
      <c r="H352" s="13" t="str">
        <f t="shared" si="19"/>
        <v/>
      </c>
    </row>
    <row r="353" spans="7:8" x14ac:dyDescent="0.25">
      <c r="G353" s="6" t="str">
        <f t="shared" si="18"/>
        <v/>
      </c>
      <c r="H353" s="13" t="str">
        <f t="shared" si="19"/>
        <v/>
      </c>
    </row>
    <row r="354" spans="7:8" x14ac:dyDescent="0.25">
      <c r="G354" s="6" t="str">
        <f t="shared" si="18"/>
        <v/>
      </c>
      <c r="H354" s="13" t="str">
        <f t="shared" si="19"/>
        <v/>
      </c>
    </row>
    <row r="355" spans="7:8" x14ac:dyDescent="0.25">
      <c r="G355" s="6" t="str">
        <f t="shared" si="18"/>
        <v/>
      </c>
      <c r="H355" s="13" t="str">
        <f t="shared" si="19"/>
        <v/>
      </c>
    </row>
    <row r="356" spans="7:8" x14ac:dyDescent="0.25">
      <c r="G356" s="6" t="str">
        <f t="shared" si="18"/>
        <v/>
      </c>
      <c r="H356" s="13" t="str">
        <f t="shared" si="19"/>
        <v/>
      </c>
    </row>
    <row r="357" spans="7:8" x14ac:dyDescent="0.25">
      <c r="G357" s="6" t="str">
        <f t="shared" si="18"/>
        <v/>
      </c>
      <c r="H357" s="13" t="str">
        <f t="shared" si="19"/>
        <v/>
      </c>
    </row>
    <row r="358" spans="7:8" x14ac:dyDescent="0.25">
      <c r="G358" s="6" t="str">
        <f t="shared" si="18"/>
        <v/>
      </c>
      <c r="H358" s="13" t="str">
        <f t="shared" si="19"/>
        <v/>
      </c>
    </row>
    <row r="359" spans="7:8" x14ac:dyDescent="0.25">
      <c r="G359" s="6" t="str">
        <f t="shared" si="18"/>
        <v/>
      </c>
      <c r="H359" s="13" t="str">
        <f t="shared" si="19"/>
        <v/>
      </c>
    </row>
    <row r="360" spans="7:8" x14ac:dyDescent="0.25">
      <c r="G360" s="6" t="str">
        <f t="shared" si="18"/>
        <v/>
      </c>
      <c r="H360" s="13" t="str">
        <f t="shared" si="19"/>
        <v/>
      </c>
    </row>
    <row r="361" spans="7:8" x14ac:dyDescent="0.25">
      <c r="G361" s="6" t="str">
        <f t="shared" si="18"/>
        <v/>
      </c>
      <c r="H361" s="13" t="str">
        <f t="shared" si="19"/>
        <v/>
      </c>
    </row>
    <row r="362" spans="7:8" x14ac:dyDescent="0.25">
      <c r="G362" s="6" t="str">
        <f t="shared" si="18"/>
        <v/>
      </c>
      <c r="H362" s="13" t="str">
        <f t="shared" si="19"/>
        <v/>
      </c>
    </row>
    <row r="363" spans="7:8" x14ac:dyDescent="0.25">
      <c r="G363" s="6" t="str">
        <f t="shared" si="18"/>
        <v/>
      </c>
      <c r="H363" s="13" t="str">
        <f t="shared" si="19"/>
        <v/>
      </c>
    </row>
    <row r="364" spans="7:8" x14ac:dyDescent="0.25">
      <c r="G364" s="6" t="str">
        <f t="shared" si="18"/>
        <v/>
      </c>
      <c r="H364" s="13" t="str">
        <f t="shared" si="19"/>
        <v/>
      </c>
    </row>
    <row r="365" spans="7:8" x14ac:dyDescent="0.25">
      <c r="G365" s="6" t="str">
        <f t="shared" si="18"/>
        <v/>
      </c>
      <c r="H365" s="13" t="str">
        <f t="shared" si="19"/>
        <v/>
      </c>
    </row>
    <row r="366" spans="7:8" x14ac:dyDescent="0.25">
      <c r="G366" s="6" t="str">
        <f t="shared" si="18"/>
        <v/>
      </c>
      <c r="H366" s="13" t="str">
        <f t="shared" si="19"/>
        <v/>
      </c>
    </row>
    <row r="367" spans="7:8" x14ac:dyDescent="0.25">
      <c r="G367" s="6" t="str">
        <f t="shared" si="18"/>
        <v/>
      </c>
      <c r="H367" s="13" t="str">
        <f t="shared" si="19"/>
        <v/>
      </c>
    </row>
    <row r="368" spans="7:8" x14ac:dyDescent="0.25">
      <c r="G368" s="6" t="str">
        <f t="shared" si="18"/>
        <v/>
      </c>
      <c r="H368" s="13" t="str">
        <f t="shared" si="19"/>
        <v/>
      </c>
    </row>
    <row r="369" spans="7:8" x14ac:dyDescent="0.25">
      <c r="G369" s="6" t="str">
        <f t="shared" si="18"/>
        <v/>
      </c>
      <c r="H369" s="13" t="str">
        <f t="shared" si="19"/>
        <v/>
      </c>
    </row>
    <row r="370" spans="7:8" x14ac:dyDescent="0.25">
      <c r="G370" s="6" t="str">
        <f t="shared" si="18"/>
        <v/>
      </c>
      <c r="H370" s="13" t="str">
        <f t="shared" si="19"/>
        <v/>
      </c>
    </row>
    <row r="371" spans="7:8" x14ac:dyDescent="0.25">
      <c r="G371" s="6" t="str">
        <f t="shared" si="18"/>
        <v/>
      </c>
      <c r="H371" s="13" t="str">
        <f t="shared" si="19"/>
        <v/>
      </c>
    </row>
    <row r="372" spans="7:8" x14ac:dyDescent="0.25">
      <c r="G372" s="6" t="str">
        <f t="shared" si="18"/>
        <v/>
      </c>
      <c r="H372" s="13" t="str">
        <f t="shared" si="19"/>
        <v/>
      </c>
    </row>
    <row r="373" spans="7:8" x14ac:dyDescent="0.25">
      <c r="G373" s="6" t="str">
        <f t="shared" si="18"/>
        <v/>
      </c>
      <c r="H373" s="13" t="str">
        <f t="shared" si="19"/>
        <v/>
      </c>
    </row>
    <row r="374" spans="7:8" x14ac:dyDescent="0.25">
      <c r="G374" s="6" t="str">
        <f t="shared" si="18"/>
        <v/>
      </c>
      <c r="H374" s="13" t="str">
        <f t="shared" si="19"/>
        <v/>
      </c>
    </row>
    <row r="375" spans="7:8" x14ac:dyDescent="0.25">
      <c r="G375" s="6" t="str">
        <f t="shared" si="18"/>
        <v/>
      </c>
      <c r="H375" s="13" t="str">
        <f t="shared" si="19"/>
        <v/>
      </c>
    </row>
    <row r="376" spans="7:8" x14ac:dyDescent="0.25">
      <c r="G376" s="6" t="str">
        <f t="shared" ref="G376:G439" si="20">IF(F376 = "n", "NA", "")</f>
        <v/>
      </c>
      <c r="H376" s="13" t="str">
        <f t="shared" ref="H376:H439" si="21">IF(G376 = "y", "NA", "")</f>
        <v/>
      </c>
    </row>
    <row r="377" spans="7:8" x14ac:dyDescent="0.25">
      <c r="G377" s="6" t="str">
        <f t="shared" si="20"/>
        <v/>
      </c>
      <c r="H377" s="13" t="str">
        <f t="shared" si="21"/>
        <v/>
      </c>
    </row>
    <row r="378" spans="7:8" x14ac:dyDescent="0.25">
      <c r="G378" s="6" t="str">
        <f t="shared" si="20"/>
        <v/>
      </c>
      <c r="H378" s="13" t="str">
        <f t="shared" si="21"/>
        <v/>
      </c>
    </row>
    <row r="379" spans="7:8" x14ac:dyDescent="0.25">
      <c r="G379" s="6" t="str">
        <f t="shared" si="20"/>
        <v/>
      </c>
      <c r="H379" s="13" t="str">
        <f t="shared" si="21"/>
        <v/>
      </c>
    </row>
    <row r="380" spans="7:8" x14ac:dyDescent="0.25">
      <c r="G380" s="6" t="str">
        <f t="shared" si="20"/>
        <v/>
      </c>
      <c r="H380" s="13" t="str">
        <f t="shared" si="21"/>
        <v/>
      </c>
    </row>
    <row r="381" spans="7:8" x14ac:dyDescent="0.25">
      <c r="G381" s="6" t="str">
        <f t="shared" si="20"/>
        <v/>
      </c>
      <c r="H381" s="13" t="str">
        <f t="shared" si="21"/>
        <v/>
      </c>
    </row>
    <row r="382" spans="7:8" x14ac:dyDescent="0.25">
      <c r="G382" s="6" t="str">
        <f t="shared" si="20"/>
        <v/>
      </c>
      <c r="H382" s="13" t="str">
        <f t="shared" si="21"/>
        <v/>
      </c>
    </row>
    <row r="383" spans="7:8" x14ac:dyDescent="0.25">
      <c r="G383" s="6" t="str">
        <f t="shared" si="20"/>
        <v/>
      </c>
      <c r="H383" s="13" t="str">
        <f t="shared" si="21"/>
        <v/>
      </c>
    </row>
    <row r="384" spans="7:8" x14ac:dyDescent="0.25">
      <c r="G384" s="6" t="str">
        <f t="shared" si="20"/>
        <v/>
      </c>
      <c r="H384" s="13" t="str">
        <f t="shared" si="21"/>
        <v/>
      </c>
    </row>
    <row r="385" spans="7:8" x14ac:dyDescent="0.25">
      <c r="G385" s="6" t="str">
        <f t="shared" si="20"/>
        <v/>
      </c>
      <c r="H385" s="13" t="str">
        <f t="shared" si="21"/>
        <v/>
      </c>
    </row>
    <row r="386" spans="7:8" x14ac:dyDescent="0.25">
      <c r="G386" s="6" t="str">
        <f t="shared" si="20"/>
        <v/>
      </c>
      <c r="H386" s="13" t="str">
        <f t="shared" si="21"/>
        <v/>
      </c>
    </row>
    <row r="387" spans="7:8" x14ac:dyDescent="0.25">
      <c r="G387" s="6" t="str">
        <f t="shared" si="20"/>
        <v/>
      </c>
      <c r="H387" s="13" t="str">
        <f t="shared" si="21"/>
        <v/>
      </c>
    </row>
    <row r="388" spans="7:8" x14ac:dyDescent="0.25">
      <c r="G388" s="6" t="str">
        <f t="shared" si="20"/>
        <v/>
      </c>
      <c r="H388" s="13" t="str">
        <f t="shared" si="21"/>
        <v/>
      </c>
    </row>
    <row r="389" spans="7:8" x14ac:dyDescent="0.25">
      <c r="G389" s="6" t="str">
        <f t="shared" si="20"/>
        <v/>
      </c>
      <c r="H389" s="13" t="str">
        <f t="shared" si="21"/>
        <v/>
      </c>
    </row>
    <row r="390" spans="7:8" x14ac:dyDescent="0.25">
      <c r="G390" s="6" t="str">
        <f t="shared" si="20"/>
        <v/>
      </c>
      <c r="H390" s="13" t="str">
        <f t="shared" si="21"/>
        <v/>
      </c>
    </row>
    <row r="391" spans="7:8" x14ac:dyDescent="0.25">
      <c r="G391" s="6" t="str">
        <f t="shared" si="20"/>
        <v/>
      </c>
      <c r="H391" s="13" t="str">
        <f t="shared" si="21"/>
        <v/>
      </c>
    </row>
    <row r="392" spans="7:8" x14ac:dyDescent="0.25">
      <c r="G392" s="6" t="str">
        <f t="shared" si="20"/>
        <v/>
      </c>
      <c r="H392" s="13" t="str">
        <f t="shared" si="21"/>
        <v/>
      </c>
    </row>
    <row r="393" spans="7:8" x14ac:dyDescent="0.25">
      <c r="G393" s="6" t="str">
        <f t="shared" si="20"/>
        <v/>
      </c>
      <c r="H393" s="13" t="str">
        <f t="shared" si="21"/>
        <v/>
      </c>
    </row>
    <row r="394" spans="7:8" x14ac:dyDescent="0.25">
      <c r="G394" s="6" t="str">
        <f t="shared" si="20"/>
        <v/>
      </c>
      <c r="H394" s="13" t="str">
        <f t="shared" si="21"/>
        <v/>
      </c>
    </row>
    <row r="395" spans="7:8" x14ac:dyDescent="0.25">
      <c r="G395" s="6" t="str">
        <f t="shared" si="20"/>
        <v/>
      </c>
      <c r="H395" s="13" t="str">
        <f t="shared" si="21"/>
        <v/>
      </c>
    </row>
    <row r="396" spans="7:8" x14ac:dyDescent="0.25">
      <c r="G396" s="6" t="str">
        <f t="shared" si="20"/>
        <v/>
      </c>
      <c r="H396" s="13" t="str">
        <f t="shared" si="21"/>
        <v/>
      </c>
    </row>
    <row r="397" spans="7:8" x14ac:dyDescent="0.25">
      <c r="G397" s="6" t="str">
        <f t="shared" si="20"/>
        <v/>
      </c>
      <c r="H397" s="13" t="str">
        <f t="shared" si="21"/>
        <v/>
      </c>
    </row>
    <row r="398" spans="7:8" x14ac:dyDescent="0.25">
      <c r="G398" s="6" t="str">
        <f t="shared" si="20"/>
        <v/>
      </c>
      <c r="H398" s="13" t="str">
        <f t="shared" si="21"/>
        <v/>
      </c>
    </row>
    <row r="399" spans="7:8" x14ac:dyDescent="0.25">
      <c r="G399" s="6" t="str">
        <f t="shared" si="20"/>
        <v/>
      </c>
      <c r="H399" s="13" t="str">
        <f t="shared" si="21"/>
        <v/>
      </c>
    </row>
    <row r="400" spans="7:8" x14ac:dyDescent="0.25">
      <c r="G400" s="6" t="str">
        <f t="shared" si="20"/>
        <v/>
      </c>
      <c r="H400" s="13" t="str">
        <f t="shared" si="21"/>
        <v/>
      </c>
    </row>
    <row r="401" spans="7:8" x14ac:dyDescent="0.25">
      <c r="G401" s="6" t="str">
        <f t="shared" si="20"/>
        <v/>
      </c>
      <c r="H401" s="13" t="str">
        <f t="shared" si="21"/>
        <v/>
      </c>
    </row>
    <row r="402" spans="7:8" x14ac:dyDescent="0.25">
      <c r="G402" s="6" t="str">
        <f t="shared" si="20"/>
        <v/>
      </c>
      <c r="H402" s="13" t="str">
        <f t="shared" si="21"/>
        <v/>
      </c>
    </row>
    <row r="403" spans="7:8" x14ac:dyDescent="0.25">
      <c r="G403" s="6" t="str">
        <f t="shared" si="20"/>
        <v/>
      </c>
      <c r="H403" s="13" t="str">
        <f t="shared" si="21"/>
        <v/>
      </c>
    </row>
    <row r="404" spans="7:8" x14ac:dyDescent="0.25">
      <c r="G404" s="6" t="str">
        <f t="shared" si="20"/>
        <v/>
      </c>
      <c r="H404" s="13" t="str">
        <f t="shared" si="21"/>
        <v/>
      </c>
    </row>
    <row r="405" spans="7:8" x14ac:dyDescent="0.25">
      <c r="G405" s="6" t="str">
        <f t="shared" si="20"/>
        <v/>
      </c>
      <c r="H405" s="13" t="str">
        <f t="shared" si="21"/>
        <v/>
      </c>
    </row>
    <row r="406" spans="7:8" x14ac:dyDescent="0.25">
      <c r="G406" s="6" t="str">
        <f t="shared" si="20"/>
        <v/>
      </c>
      <c r="H406" s="13" t="str">
        <f t="shared" si="21"/>
        <v/>
      </c>
    </row>
    <row r="407" spans="7:8" x14ac:dyDescent="0.25">
      <c r="G407" s="6" t="str">
        <f t="shared" si="20"/>
        <v/>
      </c>
      <c r="H407" s="13" t="str">
        <f t="shared" si="21"/>
        <v/>
      </c>
    </row>
    <row r="408" spans="7:8" x14ac:dyDescent="0.25">
      <c r="G408" s="6" t="str">
        <f t="shared" si="20"/>
        <v/>
      </c>
      <c r="H408" s="13" t="str">
        <f t="shared" si="21"/>
        <v/>
      </c>
    </row>
    <row r="409" spans="7:8" x14ac:dyDescent="0.25">
      <c r="G409" s="6" t="str">
        <f t="shared" si="20"/>
        <v/>
      </c>
      <c r="H409" s="13" t="str">
        <f t="shared" si="21"/>
        <v/>
      </c>
    </row>
    <row r="410" spans="7:8" x14ac:dyDescent="0.25">
      <c r="G410" s="6" t="str">
        <f t="shared" si="20"/>
        <v/>
      </c>
      <c r="H410" s="13" t="str">
        <f t="shared" si="21"/>
        <v/>
      </c>
    </row>
    <row r="411" spans="7:8" x14ac:dyDescent="0.25">
      <c r="G411" s="6" t="str">
        <f t="shared" si="20"/>
        <v/>
      </c>
      <c r="H411" s="13" t="str">
        <f t="shared" si="21"/>
        <v/>
      </c>
    </row>
    <row r="412" spans="7:8" x14ac:dyDescent="0.25">
      <c r="G412" s="6" t="str">
        <f t="shared" si="20"/>
        <v/>
      </c>
      <c r="H412" s="13" t="str">
        <f t="shared" si="21"/>
        <v/>
      </c>
    </row>
    <row r="413" spans="7:8" x14ac:dyDescent="0.25">
      <c r="G413" s="6" t="str">
        <f t="shared" si="20"/>
        <v/>
      </c>
      <c r="H413" s="13" t="str">
        <f t="shared" si="21"/>
        <v/>
      </c>
    </row>
    <row r="414" spans="7:8" x14ac:dyDescent="0.25">
      <c r="G414" s="6" t="str">
        <f t="shared" si="20"/>
        <v/>
      </c>
      <c r="H414" s="13" t="str">
        <f t="shared" si="21"/>
        <v/>
      </c>
    </row>
    <row r="415" spans="7:8" x14ac:dyDescent="0.25">
      <c r="G415" s="6" t="str">
        <f t="shared" si="20"/>
        <v/>
      </c>
      <c r="H415" s="13" t="str">
        <f t="shared" si="21"/>
        <v/>
      </c>
    </row>
    <row r="416" spans="7:8" x14ac:dyDescent="0.25">
      <c r="G416" s="6" t="str">
        <f t="shared" si="20"/>
        <v/>
      </c>
      <c r="H416" s="13" t="str">
        <f t="shared" si="21"/>
        <v/>
      </c>
    </row>
    <row r="417" spans="7:8" x14ac:dyDescent="0.25">
      <c r="G417" s="6" t="str">
        <f t="shared" si="20"/>
        <v/>
      </c>
      <c r="H417" s="13" t="str">
        <f t="shared" si="21"/>
        <v/>
      </c>
    </row>
    <row r="418" spans="7:8" x14ac:dyDescent="0.25">
      <c r="G418" s="6" t="str">
        <f t="shared" si="20"/>
        <v/>
      </c>
      <c r="H418" s="13" t="str">
        <f t="shared" si="21"/>
        <v/>
      </c>
    </row>
    <row r="419" spans="7:8" x14ac:dyDescent="0.25">
      <c r="G419" s="6" t="str">
        <f t="shared" si="20"/>
        <v/>
      </c>
      <c r="H419" s="13" t="str">
        <f t="shared" si="21"/>
        <v/>
      </c>
    </row>
    <row r="420" spans="7:8" x14ac:dyDescent="0.25">
      <c r="G420" s="6" t="str">
        <f t="shared" si="20"/>
        <v/>
      </c>
      <c r="H420" s="13" t="str">
        <f t="shared" si="21"/>
        <v/>
      </c>
    </row>
    <row r="421" spans="7:8" x14ac:dyDescent="0.25">
      <c r="G421" s="6" t="str">
        <f t="shared" si="20"/>
        <v/>
      </c>
      <c r="H421" s="13" t="str">
        <f t="shared" si="21"/>
        <v/>
      </c>
    </row>
    <row r="422" spans="7:8" x14ac:dyDescent="0.25">
      <c r="G422" s="6" t="str">
        <f t="shared" si="20"/>
        <v/>
      </c>
      <c r="H422" s="13" t="str">
        <f t="shared" si="21"/>
        <v/>
      </c>
    </row>
    <row r="423" spans="7:8" x14ac:dyDescent="0.25">
      <c r="G423" s="6" t="str">
        <f t="shared" si="20"/>
        <v/>
      </c>
      <c r="H423" s="13" t="str">
        <f t="shared" si="21"/>
        <v/>
      </c>
    </row>
    <row r="424" spans="7:8" x14ac:dyDescent="0.25">
      <c r="G424" s="6" t="str">
        <f t="shared" si="20"/>
        <v/>
      </c>
      <c r="H424" s="13" t="str">
        <f t="shared" si="21"/>
        <v/>
      </c>
    </row>
    <row r="425" spans="7:8" x14ac:dyDescent="0.25">
      <c r="G425" s="6" t="str">
        <f t="shared" si="20"/>
        <v/>
      </c>
      <c r="H425" s="13" t="str">
        <f t="shared" si="21"/>
        <v/>
      </c>
    </row>
    <row r="426" spans="7:8" x14ac:dyDescent="0.25">
      <c r="G426" s="6" t="str">
        <f t="shared" si="20"/>
        <v/>
      </c>
      <c r="H426" s="13" t="str">
        <f t="shared" si="21"/>
        <v/>
      </c>
    </row>
    <row r="427" spans="7:8" x14ac:dyDescent="0.25">
      <c r="G427" s="6" t="str">
        <f t="shared" si="20"/>
        <v/>
      </c>
      <c r="H427" s="13" t="str">
        <f t="shared" si="21"/>
        <v/>
      </c>
    </row>
    <row r="428" spans="7:8" x14ac:dyDescent="0.25">
      <c r="G428" s="6" t="str">
        <f t="shared" si="20"/>
        <v/>
      </c>
      <c r="H428" s="13" t="str">
        <f t="shared" si="21"/>
        <v/>
      </c>
    </row>
    <row r="429" spans="7:8" x14ac:dyDescent="0.25">
      <c r="G429" s="6" t="str">
        <f t="shared" si="20"/>
        <v/>
      </c>
      <c r="H429" s="13" t="str">
        <f t="shared" si="21"/>
        <v/>
      </c>
    </row>
    <row r="430" spans="7:8" x14ac:dyDescent="0.25">
      <c r="G430" s="6" t="str">
        <f t="shared" si="20"/>
        <v/>
      </c>
      <c r="H430" s="13" t="str">
        <f t="shared" si="21"/>
        <v/>
      </c>
    </row>
    <row r="431" spans="7:8" x14ac:dyDescent="0.25">
      <c r="G431" s="6" t="str">
        <f t="shared" si="20"/>
        <v/>
      </c>
      <c r="H431" s="13" t="str">
        <f t="shared" si="21"/>
        <v/>
      </c>
    </row>
    <row r="432" spans="7:8" x14ac:dyDescent="0.25">
      <c r="G432" s="6" t="str">
        <f t="shared" si="20"/>
        <v/>
      </c>
      <c r="H432" s="13" t="str">
        <f t="shared" si="21"/>
        <v/>
      </c>
    </row>
    <row r="433" spans="7:8" x14ac:dyDescent="0.25">
      <c r="G433" s="6" t="str">
        <f t="shared" si="20"/>
        <v/>
      </c>
      <c r="H433" s="13" t="str">
        <f t="shared" si="21"/>
        <v/>
      </c>
    </row>
    <row r="434" spans="7:8" x14ac:dyDescent="0.25">
      <c r="G434" s="6" t="str">
        <f t="shared" si="20"/>
        <v/>
      </c>
      <c r="H434" s="13" t="str">
        <f t="shared" si="21"/>
        <v/>
      </c>
    </row>
    <row r="435" spans="7:8" x14ac:dyDescent="0.25">
      <c r="G435" s="6" t="str">
        <f t="shared" si="20"/>
        <v/>
      </c>
      <c r="H435" s="13" t="str">
        <f t="shared" si="21"/>
        <v/>
      </c>
    </row>
    <row r="436" spans="7:8" x14ac:dyDescent="0.25">
      <c r="G436" s="6" t="str">
        <f t="shared" si="20"/>
        <v/>
      </c>
      <c r="H436" s="13" t="str">
        <f t="shared" si="21"/>
        <v/>
      </c>
    </row>
    <row r="437" spans="7:8" x14ac:dyDescent="0.25">
      <c r="G437" s="6" t="str">
        <f t="shared" si="20"/>
        <v/>
      </c>
      <c r="H437" s="13" t="str">
        <f t="shared" si="21"/>
        <v/>
      </c>
    </row>
    <row r="438" spans="7:8" x14ac:dyDescent="0.25">
      <c r="G438" s="6" t="str">
        <f t="shared" si="20"/>
        <v/>
      </c>
      <c r="H438" s="13" t="str">
        <f t="shared" si="21"/>
        <v/>
      </c>
    </row>
    <row r="439" spans="7:8" x14ac:dyDescent="0.25">
      <c r="G439" s="6" t="str">
        <f t="shared" si="20"/>
        <v/>
      </c>
      <c r="H439" s="13" t="str">
        <f t="shared" si="21"/>
        <v/>
      </c>
    </row>
    <row r="440" spans="7:8" x14ac:dyDescent="0.25">
      <c r="G440" s="6" t="str">
        <f t="shared" ref="G440:G503" si="22">IF(F440 = "n", "NA", "")</f>
        <v/>
      </c>
      <c r="H440" s="13" t="str">
        <f t="shared" ref="H440:H503" si="23">IF(G440 = "y", "NA", "")</f>
        <v/>
      </c>
    </row>
    <row r="441" spans="7:8" x14ac:dyDescent="0.25">
      <c r="G441" s="6" t="str">
        <f t="shared" si="22"/>
        <v/>
      </c>
      <c r="H441" s="13" t="str">
        <f t="shared" si="23"/>
        <v/>
      </c>
    </row>
    <row r="442" spans="7:8" x14ac:dyDescent="0.25">
      <c r="G442" s="6" t="str">
        <f t="shared" si="22"/>
        <v/>
      </c>
      <c r="H442" s="13" t="str">
        <f t="shared" si="23"/>
        <v/>
      </c>
    </row>
    <row r="443" spans="7:8" x14ac:dyDescent="0.25">
      <c r="G443" s="6" t="str">
        <f t="shared" si="22"/>
        <v/>
      </c>
      <c r="H443" s="13" t="str">
        <f t="shared" si="23"/>
        <v/>
      </c>
    </row>
    <row r="444" spans="7:8" x14ac:dyDescent="0.25">
      <c r="G444" s="6" t="str">
        <f t="shared" si="22"/>
        <v/>
      </c>
      <c r="H444" s="13" t="str">
        <f t="shared" si="23"/>
        <v/>
      </c>
    </row>
    <row r="445" spans="7:8" x14ac:dyDescent="0.25">
      <c r="G445" s="6" t="str">
        <f t="shared" si="22"/>
        <v/>
      </c>
      <c r="H445" s="13" t="str">
        <f t="shared" si="23"/>
        <v/>
      </c>
    </row>
    <row r="446" spans="7:8" x14ac:dyDescent="0.25">
      <c r="G446" s="6" t="str">
        <f t="shared" si="22"/>
        <v/>
      </c>
      <c r="H446" s="13" t="str">
        <f t="shared" si="23"/>
        <v/>
      </c>
    </row>
    <row r="447" spans="7:8" x14ac:dyDescent="0.25">
      <c r="G447" s="6" t="str">
        <f t="shared" si="22"/>
        <v/>
      </c>
      <c r="H447" s="13" t="str">
        <f t="shared" si="23"/>
        <v/>
      </c>
    </row>
    <row r="448" spans="7:8" x14ac:dyDescent="0.25">
      <c r="G448" s="6" t="str">
        <f t="shared" si="22"/>
        <v/>
      </c>
      <c r="H448" s="13" t="str">
        <f t="shared" si="23"/>
        <v/>
      </c>
    </row>
    <row r="449" spans="7:8" x14ac:dyDescent="0.25">
      <c r="G449" s="6" t="str">
        <f t="shared" si="22"/>
        <v/>
      </c>
      <c r="H449" s="13" t="str">
        <f t="shared" si="23"/>
        <v/>
      </c>
    </row>
    <row r="450" spans="7:8" x14ac:dyDescent="0.25">
      <c r="G450" s="6" t="str">
        <f t="shared" si="22"/>
        <v/>
      </c>
      <c r="H450" s="13" t="str">
        <f t="shared" si="23"/>
        <v/>
      </c>
    </row>
    <row r="451" spans="7:8" x14ac:dyDescent="0.25">
      <c r="G451" s="6" t="str">
        <f t="shared" si="22"/>
        <v/>
      </c>
      <c r="H451" s="13" t="str">
        <f t="shared" si="23"/>
        <v/>
      </c>
    </row>
    <row r="452" spans="7:8" x14ac:dyDescent="0.25">
      <c r="G452" s="6" t="str">
        <f t="shared" si="22"/>
        <v/>
      </c>
      <c r="H452" s="13" t="str">
        <f t="shared" si="23"/>
        <v/>
      </c>
    </row>
    <row r="453" spans="7:8" x14ac:dyDescent="0.25">
      <c r="G453" s="6" t="str">
        <f t="shared" si="22"/>
        <v/>
      </c>
      <c r="H453" s="13" t="str">
        <f t="shared" si="23"/>
        <v/>
      </c>
    </row>
    <row r="454" spans="7:8" x14ac:dyDescent="0.25">
      <c r="G454" s="6" t="str">
        <f t="shared" si="22"/>
        <v/>
      </c>
      <c r="H454" s="13" t="str">
        <f t="shared" si="23"/>
        <v/>
      </c>
    </row>
    <row r="455" spans="7:8" x14ac:dyDescent="0.25">
      <c r="G455" s="6" t="str">
        <f t="shared" si="22"/>
        <v/>
      </c>
      <c r="H455" s="13" t="str">
        <f t="shared" si="23"/>
        <v/>
      </c>
    </row>
    <row r="456" spans="7:8" x14ac:dyDescent="0.25">
      <c r="G456" s="6" t="str">
        <f t="shared" si="22"/>
        <v/>
      </c>
      <c r="H456" s="13" t="str">
        <f t="shared" si="23"/>
        <v/>
      </c>
    </row>
    <row r="457" spans="7:8" x14ac:dyDescent="0.25">
      <c r="G457" s="6" t="str">
        <f t="shared" si="22"/>
        <v/>
      </c>
      <c r="H457" s="13" t="str">
        <f t="shared" si="23"/>
        <v/>
      </c>
    </row>
    <row r="458" spans="7:8" x14ac:dyDescent="0.25">
      <c r="G458" s="6" t="str">
        <f t="shared" si="22"/>
        <v/>
      </c>
      <c r="H458" s="13" t="str">
        <f t="shared" si="23"/>
        <v/>
      </c>
    </row>
    <row r="459" spans="7:8" x14ac:dyDescent="0.25">
      <c r="G459" s="6" t="str">
        <f t="shared" si="22"/>
        <v/>
      </c>
      <c r="H459" s="13" t="str">
        <f t="shared" si="23"/>
        <v/>
      </c>
    </row>
    <row r="460" spans="7:8" x14ac:dyDescent="0.25">
      <c r="G460" s="6" t="str">
        <f t="shared" si="22"/>
        <v/>
      </c>
      <c r="H460" s="13" t="str">
        <f t="shared" si="23"/>
        <v/>
      </c>
    </row>
    <row r="461" spans="7:8" x14ac:dyDescent="0.25">
      <c r="G461" s="6" t="str">
        <f t="shared" si="22"/>
        <v/>
      </c>
      <c r="H461" s="13" t="str">
        <f t="shared" si="23"/>
        <v/>
      </c>
    </row>
    <row r="462" spans="7:8" x14ac:dyDescent="0.25">
      <c r="G462" s="6" t="str">
        <f t="shared" si="22"/>
        <v/>
      </c>
      <c r="H462" s="13" t="str">
        <f t="shared" si="23"/>
        <v/>
      </c>
    </row>
    <row r="463" spans="7:8" x14ac:dyDescent="0.25">
      <c r="G463" s="6" t="str">
        <f t="shared" si="22"/>
        <v/>
      </c>
      <c r="H463" s="13" t="str">
        <f t="shared" si="23"/>
        <v/>
      </c>
    </row>
    <row r="464" spans="7:8" x14ac:dyDescent="0.25">
      <c r="G464" s="6" t="str">
        <f t="shared" si="22"/>
        <v/>
      </c>
      <c r="H464" s="13" t="str">
        <f t="shared" si="23"/>
        <v/>
      </c>
    </row>
    <row r="465" spans="7:8" x14ac:dyDescent="0.25">
      <c r="G465" s="6" t="str">
        <f t="shared" si="22"/>
        <v/>
      </c>
      <c r="H465" s="13" t="str">
        <f t="shared" si="23"/>
        <v/>
      </c>
    </row>
    <row r="466" spans="7:8" x14ac:dyDescent="0.25">
      <c r="G466" s="6" t="str">
        <f t="shared" si="22"/>
        <v/>
      </c>
      <c r="H466" s="13" t="str">
        <f t="shared" si="23"/>
        <v/>
      </c>
    </row>
    <row r="467" spans="7:8" x14ac:dyDescent="0.25">
      <c r="G467" s="6" t="str">
        <f t="shared" si="22"/>
        <v/>
      </c>
      <c r="H467" s="13" t="str">
        <f t="shared" si="23"/>
        <v/>
      </c>
    </row>
    <row r="468" spans="7:8" x14ac:dyDescent="0.25">
      <c r="G468" s="6" t="str">
        <f t="shared" si="22"/>
        <v/>
      </c>
      <c r="H468" s="13" t="str">
        <f t="shared" si="23"/>
        <v/>
      </c>
    </row>
    <row r="469" spans="7:8" x14ac:dyDescent="0.25">
      <c r="G469" s="6" t="str">
        <f t="shared" si="22"/>
        <v/>
      </c>
      <c r="H469" s="13" t="str">
        <f t="shared" si="23"/>
        <v/>
      </c>
    </row>
    <row r="470" spans="7:8" x14ac:dyDescent="0.25">
      <c r="G470" s="6" t="str">
        <f t="shared" si="22"/>
        <v/>
      </c>
      <c r="H470" s="13" t="str">
        <f t="shared" si="23"/>
        <v/>
      </c>
    </row>
    <row r="471" spans="7:8" x14ac:dyDescent="0.25">
      <c r="G471" s="6" t="str">
        <f t="shared" si="22"/>
        <v/>
      </c>
      <c r="H471" s="13" t="str">
        <f t="shared" si="23"/>
        <v/>
      </c>
    </row>
    <row r="472" spans="7:8" x14ac:dyDescent="0.25">
      <c r="G472" s="6" t="str">
        <f t="shared" si="22"/>
        <v/>
      </c>
      <c r="H472" s="13" t="str">
        <f t="shared" si="23"/>
        <v/>
      </c>
    </row>
    <row r="473" spans="7:8" x14ac:dyDescent="0.25">
      <c r="G473" s="6" t="str">
        <f t="shared" si="22"/>
        <v/>
      </c>
      <c r="H473" s="13" t="str">
        <f t="shared" si="23"/>
        <v/>
      </c>
    </row>
    <row r="474" spans="7:8" x14ac:dyDescent="0.25">
      <c r="G474" s="6" t="str">
        <f t="shared" si="22"/>
        <v/>
      </c>
      <c r="H474" s="13" t="str">
        <f t="shared" si="23"/>
        <v/>
      </c>
    </row>
    <row r="475" spans="7:8" x14ac:dyDescent="0.25">
      <c r="G475" s="6" t="str">
        <f t="shared" si="22"/>
        <v/>
      </c>
      <c r="H475" s="13" t="str">
        <f t="shared" si="23"/>
        <v/>
      </c>
    </row>
    <row r="476" spans="7:8" x14ac:dyDescent="0.25">
      <c r="G476" s="6" t="str">
        <f t="shared" si="22"/>
        <v/>
      </c>
      <c r="H476" s="13" t="str">
        <f t="shared" si="23"/>
        <v/>
      </c>
    </row>
    <row r="477" spans="7:8" x14ac:dyDescent="0.25">
      <c r="G477" s="6" t="str">
        <f t="shared" si="22"/>
        <v/>
      </c>
      <c r="H477" s="13" t="str">
        <f t="shared" si="23"/>
        <v/>
      </c>
    </row>
    <row r="478" spans="7:8" x14ac:dyDescent="0.25">
      <c r="G478" s="6" t="str">
        <f t="shared" si="22"/>
        <v/>
      </c>
      <c r="H478" s="13" t="str">
        <f t="shared" si="23"/>
        <v/>
      </c>
    </row>
    <row r="479" spans="7:8" x14ac:dyDescent="0.25">
      <c r="G479" s="6" t="str">
        <f t="shared" si="22"/>
        <v/>
      </c>
      <c r="H479" s="13" t="str">
        <f t="shared" si="23"/>
        <v/>
      </c>
    </row>
    <row r="480" spans="7:8" x14ac:dyDescent="0.25">
      <c r="G480" s="6" t="str">
        <f t="shared" si="22"/>
        <v/>
      </c>
      <c r="H480" s="13" t="str">
        <f t="shared" si="23"/>
        <v/>
      </c>
    </row>
    <row r="481" spans="7:8" x14ac:dyDescent="0.25">
      <c r="G481" s="6" t="str">
        <f t="shared" si="22"/>
        <v/>
      </c>
      <c r="H481" s="13" t="str">
        <f t="shared" si="23"/>
        <v/>
      </c>
    </row>
    <row r="482" spans="7:8" x14ac:dyDescent="0.25">
      <c r="G482" s="6" t="str">
        <f t="shared" si="22"/>
        <v/>
      </c>
      <c r="H482" s="13" t="str">
        <f t="shared" si="23"/>
        <v/>
      </c>
    </row>
    <row r="483" spans="7:8" x14ac:dyDescent="0.25">
      <c r="G483" s="6" t="str">
        <f t="shared" si="22"/>
        <v/>
      </c>
      <c r="H483" s="13" t="str">
        <f t="shared" si="23"/>
        <v/>
      </c>
    </row>
    <row r="484" spans="7:8" x14ac:dyDescent="0.25">
      <c r="G484" s="6" t="str">
        <f t="shared" si="22"/>
        <v/>
      </c>
      <c r="H484" s="13" t="str">
        <f t="shared" si="23"/>
        <v/>
      </c>
    </row>
    <row r="485" spans="7:8" x14ac:dyDescent="0.25">
      <c r="G485" s="6" t="str">
        <f t="shared" si="22"/>
        <v/>
      </c>
      <c r="H485" s="13" t="str">
        <f t="shared" si="23"/>
        <v/>
      </c>
    </row>
    <row r="486" spans="7:8" x14ac:dyDescent="0.25">
      <c r="G486" s="6" t="str">
        <f t="shared" si="22"/>
        <v/>
      </c>
      <c r="H486" s="13" t="str">
        <f t="shared" si="23"/>
        <v/>
      </c>
    </row>
    <row r="487" spans="7:8" x14ac:dyDescent="0.25">
      <c r="G487" s="6" t="str">
        <f t="shared" si="22"/>
        <v/>
      </c>
      <c r="H487" s="13" t="str">
        <f t="shared" si="23"/>
        <v/>
      </c>
    </row>
    <row r="488" spans="7:8" x14ac:dyDescent="0.25">
      <c r="G488" s="6" t="str">
        <f t="shared" si="22"/>
        <v/>
      </c>
      <c r="H488" s="13" t="str">
        <f t="shared" si="23"/>
        <v/>
      </c>
    </row>
    <row r="489" spans="7:8" x14ac:dyDescent="0.25">
      <c r="G489" s="6" t="str">
        <f t="shared" si="22"/>
        <v/>
      </c>
      <c r="H489" s="13" t="str">
        <f t="shared" si="23"/>
        <v/>
      </c>
    </row>
    <row r="490" spans="7:8" x14ac:dyDescent="0.25">
      <c r="G490" s="6" t="str">
        <f t="shared" si="22"/>
        <v/>
      </c>
      <c r="H490" s="13" t="str">
        <f t="shared" si="23"/>
        <v/>
      </c>
    </row>
    <row r="491" spans="7:8" x14ac:dyDescent="0.25">
      <c r="G491" s="6" t="str">
        <f t="shared" si="22"/>
        <v/>
      </c>
      <c r="H491" s="13" t="str">
        <f t="shared" si="23"/>
        <v/>
      </c>
    </row>
    <row r="492" spans="7:8" x14ac:dyDescent="0.25">
      <c r="G492" s="6" t="str">
        <f t="shared" si="22"/>
        <v/>
      </c>
      <c r="H492" s="13" t="str">
        <f t="shared" si="23"/>
        <v/>
      </c>
    </row>
    <row r="493" spans="7:8" x14ac:dyDescent="0.25">
      <c r="G493" s="6" t="str">
        <f t="shared" si="22"/>
        <v/>
      </c>
      <c r="H493" s="13" t="str">
        <f t="shared" si="23"/>
        <v/>
      </c>
    </row>
    <row r="494" spans="7:8" x14ac:dyDescent="0.25">
      <c r="G494" s="6" t="str">
        <f t="shared" si="22"/>
        <v/>
      </c>
      <c r="H494" s="13" t="str">
        <f t="shared" si="23"/>
        <v/>
      </c>
    </row>
    <row r="495" spans="7:8" x14ac:dyDescent="0.25">
      <c r="G495" s="6" t="str">
        <f t="shared" si="22"/>
        <v/>
      </c>
      <c r="H495" s="13" t="str">
        <f t="shared" si="23"/>
        <v/>
      </c>
    </row>
    <row r="496" spans="7:8" x14ac:dyDescent="0.25">
      <c r="G496" s="6" t="str">
        <f t="shared" si="22"/>
        <v/>
      </c>
      <c r="H496" s="13" t="str">
        <f t="shared" si="23"/>
        <v/>
      </c>
    </row>
    <row r="497" spans="7:8" x14ac:dyDescent="0.25">
      <c r="G497" s="6" t="str">
        <f t="shared" si="22"/>
        <v/>
      </c>
      <c r="H497" s="13" t="str">
        <f t="shared" si="23"/>
        <v/>
      </c>
    </row>
    <row r="498" spans="7:8" x14ac:dyDescent="0.25">
      <c r="G498" s="6" t="str">
        <f t="shared" si="22"/>
        <v/>
      </c>
      <c r="H498" s="13" t="str">
        <f t="shared" si="23"/>
        <v/>
      </c>
    </row>
    <row r="499" spans="7:8" x14ac:dyDescent="0.25">
      <c r="G499" s="6" t="str">
        <f t="shared" si="22"/>
        <v/>
      </c>
      <c r="H499" s="13" t="str">
        <f t="shared" si="23"/>
        <v/>
      </c>
    </row>
    <row r="500" spans="7:8" x14ac:dyDescent="0.25">
      <c r="G500" s="6" t="str">
        <f t="shared" si="22"/>
        <v/>
      </c>
      <c r="H500" s="13" t="str">
        <f t="shared" si="23"/>
        <v/>
      </c>
    </row>
    <row r="501" spans="7:8" x14ac:dyDescent="0.25">
      <c r="G501" s="6" t="str">
        <f t="shared" si="22"/>
        <v/>
      </c>
      <c r="H501" s="13" t="str">
        <f t="shared" si="23"/>
        <v/>
      </c>
    </row>
    <row r="502" spans="7:8" x14ac:dyDescent="0.25">
      <c r="G502" s="6" t="str">
        <f t="shared" si="22"/>
        <v/>
      </c>
      <c r="H502" s="13" t="str">
        <f t="shared" si="23"/>
        <v/>
      </c>
    </row>
    <row r="503" spans="7:8" x14ac:dyDescent="0.25">
      <c r="G503" s="6" t="str">
        <f t="shared" si="22"/>
        <v/>
      </c>
      <c r="H503" s="13" t="str">
        <f t="shared" si="23"/>
        <v/>
      </c>
    </row>
    <row r="504" spans="7:8" x14ac:dyDescent="0.25">
      <c r="G504" s="6" t="str">
        <f t="shared" ref="G504:G567" si="24">IF(F504 = "n", "NA", "")</f>
        <v/>
      </c>
      <c r="H504" s="13" t="str">
        <f t="shared" ref="H504:H567" si="25">IF(G504 = "y", "NA", "")</f>
        <v/>
      </c>
    </row>
    <row r="505" spans="7:8" x14ac:dyDescent="0.25">
      <c r="G505" s="6" t="str">
        <f t="shared" si="24"/>
        <v/>
      </c>
      <c r="H505" s="13" t="str">
        <f t="shared" si="25"/>
        <v/>
      </c>
    </row>
    <row r="506" spans="7:8" x14ac:dyDescent="0.25">
      <c r="G506" s="6" t="str">
        <f t="shared" si="24"/>
        <v/>
      </c>
      <c r="H506" s="13" t="str">
        <f t="shared" si="25"/>
        <v/>
      </c>
    </row>
    <row r="507" spans="7:8" x14ac:dyDescent="0.25">
      <c r="G507" s="6" t="str">
        <f t="shared" si="24"/>
        <v/>
      </c>
      <c r="H507" s="13" t="str">
        <f t="shared" si="25"/>
        <v/>
      </c>
    </row>
    <row r="508" spans="7:8" x14ac:dyDescent="0.25">
      <c r="G508" s="6" t="str">
        <f t="shared" si="24"/>
        <v/>
      </c>
      <c r="H508" s="13" t="str">
        <f t="shared" si="25"/>
        <v/>
      </c>
    </row>
    <row r="509" spans="7:8" x14ac:dyDescent="0.25">
      <c r="G509" s="6" t="str">
        <f t="shared" si="24"/>
        <v/>
      </c>
      <c r="H509" s="13" t="str">
        <f t="shared" si="25"/>
        <v/>
      </c>
    </row>
    <row r="510" spans="7:8" x14ac:dyDescent="0.25">
      <c r="G510" s="6" t="str">
        <f t="shared" si="24"/>
        <v/>
      </c>
      <c r="H510" s="13" t="str">
        <f t="shared" si="25"/>
        <v/>
      </c>
    </row>
    <row r="511" spans="7:8" x14ac:dyDescent="0.25">
      <c r="G511" s="6" t="str">
        <f t="shared" si="24"/>
        <v/>
      </c>
      <c r="H511" s="13" t="str">
        <f t="shared" si="25"/>
        <v/>
      </c>
    </row>
    <row r="512" spans="7:8" x14ac:dyDescent="0.25">
      <c r="G512" s="6" t="str">
        <f t="shared" si="24"/>
        <v/>
      </c>
      <c r="H512" s="13" t="str">
        <f t="shared" si="25"/>
        <v/>
      </c>
    </row>
    <row r="513" spans="7:8" x14ac:dyDescent="0.25">
      <c r="G513" s="6" t="str">
        <f t="shared" si="24"/>
        <v/>
      </c>
      <c r="H513" s="13" t="str">
        <f t="shared" si="25"/>
        <v/>
      </c>
    </row>
    <row r="514" spans="7:8" x14ac:dyDescent="0.25">
      <c r="G514" s="6" t="str">
        <f t="shared" si="24"/>
        <v/>
      </c>
      <c r="H514" s="13" t="str">
        <f t="shared" si="25"/>
        <v/>
      </c>
    </row>
    <row r="515" spans="7:8" x14ac:dyDescent="0.25">
      <c r="G515" s="6" t="str">
        <f t="shared" si="24"/>
        <v/>
      </c>
      <c r="H515" s="13" t="str">
        <f t="shared" si="25"/>
        <v/>
      </c>
    </row>
    <row r="516" spans="7:8" x14ac:dyDescent="0.25">
      <c r="G516" s="6" t="str">
        <f t="shared" si="24"/>
        <v/>
      </c>
      <c r="H516" s="13" t="str">
        <f t="shared" si="25"/>
        <v/>
      </c>
    </row>
    <row r="517" spans="7:8" x14ac:dyDescent="0.25">
      <c r="G517" s="6" t="str">
        <f t="shared" si="24"/>
        <v/>
      </c>
      <c r="H517" s="13" t="str">
        <f t="shared" si="25"/>
        <v/>
      </c>
    </row>
    <row r="518" spans="7:8" x14ac:dyDescent="0.25">
      <c r="G518" s="6" t="str">
        <f t="shared" si="24"/>
        <v/>
      </c>
      <c r="H518" s="13" t="str">
        <f t="shared" si="25"/>
        <v/>
      </c>
    </row>
    <row r="519" spans="7:8" x14ac:dyDescent="0.25">
      <c r="G519" s="6" t="str">
        <f t="shared" si="24"/>
        <v/>
      </c>
      <c r="H519" s="13" t="str">
        <f t="shared" si="25"/>
        <v/>
      </c>
    </row>
    <row r="520" spans="7:8" x14ac:dyDescent="0.25">
      <c r="G520" s="6" t="str">
        <f t="shared" si="24"/>
        <v/>
      </c>
      <c r="H520" s="13" t="str">
        <f t="shared" si="25"/>
        <v/>
      </c>
    </row>
    <row r="521" spans="7:8" x14ac:dyDescent="0.25">
      <c r="G521" s="6" t="str">
        <f t="shared" si="24"/>
        <v/>
      </c>
      <c r="H521" s="13" t="str">
        <f t="shared" si="25"/>
        <v/>
      </c>
    </row>
    <row r="522" spans="7:8" x14ac:dyDescent="0.25">
      <c r="G522" s="6" t="str">
        <f t="shared" si="24"/>
        <v/>
      </c>
      <c r="H522" s="13" t="str">
        <f t="shared" si="25"/>
        <v/>
      </c>
    </row>
    <row r="523" spans="7:8" x14ac:dyDescent="0.25">
      <c r="G523" s="6" t="str">
        <f t="shared" si="24"/>
        <v/>
      </c>
      <c r="H523" s="13" t="str">
        <f t="shared" si="25"/>
        <v/>
      </c>
    </row>
    <row r="524" spans="7:8" x14ac:dyDescent="0.25">
      <c r="G524" s="6" t="str">
        <f t="shared" si="24"/>
        <v/>
      </c>
      <c r="H524" s="13" t="str">
        <f t="shared" si="25"/>
        <v/>
      </c>
    </row>
    <row r="525" spans="7:8" x14ac:dyDescent="0.25">
      <c r="G525" s="6" t="str">
        <f t="shared" si="24"/>
        <v/>
      </c>
      <c r="H525" s="13" t="str">
        <f t="shared" si="25"/>
        <v/>
      </c>
    </row>
    <row r="526" spans="7:8" x14ac:dyDescent="0.25">
      <c r="G526" s="6" t="str">
        <f t="shared" si="24"/>
        <v/>
      </c>
      <c r="H526" s="13" t="str">
        <f t="shared" si="25"/>
        <v/>
      </c>
    </row>
    <row r="527" spans="7:8" x14ac:dyDescent="0.25">
      <c r="G527" s="6" t="str">
        <f t="shared" si="24"/>
        <v/>
      </c>
      <c r="H527" s="13" t="str">
        <f t="shared" si="25"/>
        <v/>
      </c>
    </row>
    <row r="528" spans="7:8" x14ac:dyDescent="0.25">
      <c r="G528" s="6" t="str">
        <f t="shared" si="24"/>
        <v/>
      </c>
      <c r="H528" s="13" t="str">
        <f t="shared" si="25"/>
        <v/>
      </c>
    </row>
    <row r="529" spans="7:8" x14ac:dyDescent="0.25">
      <c r="G529" s="6" t="str">
        <f t="shared" si="24"/>
        <v/>
      </c>
      <c r="H529" s="13" t="str">
        <f t="shared" si="25"/>
        <v/>
      </c>
    </row>
    <row r="530" spans="7:8" x14ac:dyDescent="0.25">
      <c r="G530" s="6" t="str">
        <f t="shared" si="24"/>
        <v/>
      </c>
      <c r="H530" s="13" t="str">
        <f t="shared" si="25"/>
        <v/>
      </c>
    </row>
    <row r="531" spans="7:8" x14ac:dyDescent="0.25">
      <c r="G531" s="6" t="str">
        <f t="shared" si="24"/>
        <v/>
      </c>
      <c r="H531" s="13" t="str">
        <f t="shared" si="25"/>
        <v/>
      </c>
    </row>
    <row r="532" spans="7:8" x14ac:dyDescent="0.25">
      <c r="G532" s="6" t="str">
        <f t="shared" si="24"/>
        <v/>
      </c>
      <c r="H532" s="13" t="str">
        <f t="shared" si="25"/>
        <v/>
      </c>
    </row>
    <row r="533" spans="7:8" x14ac:dyDescent="0.25">
      <c r="G533" s="6" t="str">
        <f t="shared" si="24"/>
        <v/>
      </c>
      <c r="H533" s="13" t="str">
        <f t="shared" si="25"/>
        <v/>
      </c>
    </row>
    <row r="534" spans="7:8" x14ac:dyDescent="0.25">
      <c r="G534" s="6" t="str">
        <f t="shared" si="24"/>
        <v/>
      </c>
      <c r="H534" s="13" t="str">
        <f t="shared" si="25"/>
        <v/>
      </c>
    </row>
    <row r="535" spans="7:8" x14ac:dyDescent="0.25">
      <c r="G535" s="6" t="str">
        <f t="shared" si="24"/>
        <v/>
      </c>
      <c r="H535" s="13" t="str">
        <f t="shared" si="25"/>
        <v/>
      </c>
    </row>
    <row r="536" spans="7:8" x14ac:dyDescent="0.25">
      <c r="G536" s="6" t="str">
        <f t="shared" si="24"/>
        <v/>
      </c>
      <c r="H536" s="13" t="str">
        <f t="shared" si="25"/>
        <v/>
      </c>
    </row>
    <row r="537" spans="7:8" x14ac:dyDescent="0.25">
      <c r="G537" s="6" t="str">
        <f t="shared" si="24"/>
        <v/>
      </c>
      <c r="H537" s="13" t="str">
        <f t="shared" si="25"/>
        <v/>
      </c>
    </row>
    <row r="538" spans="7:8" x14ac:dyDescent="0.25">
      <c r="G538" s="6" t="str">
        <f t="shared" si="24"/>
        <v/>
      </c>
      <c r="H538" s="13" t="str">
        <f t="shared" si="25"/>
        <v/>
      </c>
    </row>
    <row r="539" spans="7:8" x14ac:dyDescent="0.25">
      <c r="G539" s="6" t="str">
        <f t="shared" si="24"/>
        <v/>
      </c>
      <c r="H539" s="13" t="str">
        <f t="shared" si="25"/>
        <v/>
      </c>
    </row>
    <row r="540" spans="7:8" x14ac:dyDescent="0.25">
      <c r="G540" s="6" t="str">
        <f t="shared" si="24"/>
        <v/>
      </c>
      <c r="H540" s="13" t="str">
        <f t="shared" si="25"/>
        <v/>
      </c>
    </row>
    <row r="541" spans="7:8" x14ac:dyDescent="0.25">
      <c r="G541" s="6" t="str">
        <f t="shared" si="24"/>
        <v/>
      </c>
      <c r="H541" s="13" t="str">
        <f t="shared" si="25"/>
        <v/>
      </c>
    </row>
    <row r="542" spans="7:8" x14ac:dyDescent="0.25">
      <c r="G542" s="6" t="str">
        <f t="shared" si="24"/>
        <v/>
      </c>
      <c r="H542" s="13" t="str">
        <f t="shared" si="25"/>
        <v/>
      </c>
    </row>
    <row r="543" spans="7:8" x14ac:dyDescent="0.25">
      <c r="G543" s="6" t="str">
        <f t="shared" si="24"/>
        <v/>
      </c>
      <c r="H543" s="13" t="str">
        <f t="shared" si="25"/>
        <v/>
      </c>
    </row>
    <row r="544" spans="7:8" x14ac:dyDescent="0.25">
      <c r="G544" s="6" t="str">
        <f t="shared" si="24"/>
        <v/>
      </c>
      <c r="H544" s="13" t="str">
        <f t="shared" si="25"/>
        <v/>
      </c>
    </row>
    <row r="545" spans="7:8" x14ac:dyDescent="0.25">
      <c r="G545" s="6" t="str">
        <f t="shared" si="24"/>
        <v/>
      </c>
      <c r="H545" s="13" t="str">
        <f t="shared" si="25"/>
        <v/>
      </c>
    </row>
    <row r="546" spans="7:8" x14ac:dyDescent="0.25">
      <c r="G546" s="6" t="str">
        <f t="shared" si="24"/>
        <v/>
      </c>
      <c r="H546" s="13" t="str">
        <f t="shared" si="25"/>
        <v/>
      </c>
    </row>
    <row r="547" spans="7:8" x14ac:dyDescent="0.25">
      <c r="G547" s="6" t="str">
        <f t="shared" si="24"/>
        <v/>
      </c>
      <c r="H547" s="13" t="str">
        <f t="shared" si="25"/>
        <v/>
      </c>
    </row>
    <row r="548" spans="7:8" x14ac:dyDescent="0.25">
      <c r="G548" s="6" t="str">
        <f t="shared" si="24"/>
        <v/>
      </c>
      <c r="H548" s="13" t="str">
        <f t="shared" si="25"/>
        <v/>
      </c>
    </row>
    <row r="549" spans="7:8" x14ac:dyDescent="0.25">
      <c r="G549" s="6" t="str">
        <f t="shared" si="24"/>
        <v/>
      </c>
      <c r="H549" s="13" t="str">
        <f t="shared" si="25"/>
        <v/>
      </c>
    </row>
    <row r="550" spans="7:8" x14ac:dyDescent="0.25">
      <c r="G550" s="6" t="str">
        <f t="shared" si="24"/>
        <v/>
      </c>
      <c r="H550" s="13" t="str">
        <f t="shared" si="25"/>
        <v/>
      </c>
    </row>
    <row r="551" spans="7:8" x14ac:dyDescent="0.25">
      <c r="G551" s="6" t="str">
        <f t="shared" si="24"/>
        <v/>
      </c>
      <c r="H551" s="13" t="str">
        <f t="shared" si="25"/>
        <v/>
      </c>
    </row>
    <row r="552" spans="7:8" x14ac:dyDescent="0.25">
      <c r="G552" s="6" t="str">
        <f t="shared" si="24"/>
        <v/>
      </c>
      <c r="H552" s="13" t="str">
        <f t="shared" si="25"/>
        <v/>
      </c>
    </row>
    <row r="553" spans="7:8" x14ac:dyDescent="0.25">
      <c r="G553" s="6" t="str">
        <f t="shared" si="24"/>
        <v/>
      </c>
      <c r="H553" s="13" t="str">
        <f t="shared" si="25"/>
        <v/>
      </c>
    </row>
    <row r="554" spans="7:8" x14ac:dyDescent="0.25">
      <c r="G554" s="6" t="str">
        <f t="shared" si="24"/>
        <v/>
      </c>
      <c r="H554" s="13" t="str">
        <f t="shared" si="25"/>
        <v/>
      </c>
    </row>
    <row r="555" spans="7:8" x14ac:dyDescent="0.25">
      <c r="G555" s="6" t="str">
        <f t="shared" si="24"/>
        <v/>
      </c>
      <c r="H555" s="13" t="str">
        <f t="shared" si="25"/>
        <v/>
      </c>
    </row>
    <row r="556" spans="7:8" x14ac:dyDescent="0.25">
      <c r="G556" s="6" t="str">
        <f t="shared" si="24"/>
        <v/>
      </c>
      <c r="H556" s="13" t="str">
        <f t="shared" si="25"/>
        <v/>
      </c>
    </row>
    <row r="557" spans="7:8" x14ac:dyDescent="0.25">
      <c r="G557" s="6" t="str">
        <f t="shared" si="24"/>
        <v/>
      </c>
      <c r="H557" s="13" t="str">
        <f t="shared" si="25"/>
        <v/>
      </c>
    </row>
    <row r="558" spans="7:8" x14ac:dyDescent="0.25">
      <c r="G558" s="6" t="str">
        <f t="shared" si="24"/>
        <v/>
      </c>
      <c r="H558" s="13" t="str">
        <f t="shared" si="25"/>
        <v/>
      </c>
    </row>
    <row r="559" spans="7:8" x14ac:dyDescent="0.25">
      <c r="G559" s="6" t="str">
        <f t="shared" si="24"/>
        <v/>
      </c>
      <c r="H559" s="13" t="str">
        <f t="shared" si="25"/>
        <v/>
      </c>
    </row>
    <row r="560" spans="7:8" x14ac:dyDescent="0.25">
      <c r="G560" s="6" t="str">
        <f t="shared" si="24"/>
        <v/>
      </c>
      <c r="H560" s="13" t="str">
        <f t="shared" si="25"/>
        <v/>
      </c>
    </row>
    <row r="561" spans="7:8" x14ac:dyDescent="0.25">
      <c r="G561" s="6" t="str">
        <f t="shared" si="24"/>
        <v/>
      </c>
      <c r="H561" s="13" t="str">
        <f t="shared" si="25"/>
        <v/>
      </c>
    </row>
    <row r="562" spans="7:8" x14ac:dyDescent="0.25">
      <c r="G562" s="6" t="str">
        <f t="shared" si="24"/>
        <v/>
      </c>
      <c r="H562" s="13" t="str">
        <f t="shared" si="25"/>
        <v/>
      </c>
    </row>
    <row r="563" spans="7:8" x14ac:dyDescent="0.25">
      <c r="G563" s="6" t="str">
        <f t="shared" si="24"/>
        <v/>
      </c>
      <c r="H563" s="13" t="str">
        <f t="shared" si="25"/>
        <v/>
      </c>
    </row>
    <row r="564" spans="7:8" x14ac:dyDescent="0.25">
      <c r="G564" s="6" t="str">
        <f t="shared" si="24"/>
        <v/>
      </c>
      <c r="H564" s="13" t="str">
        <f t="shared" si="25"/>
        <v/>
      </c>
    </row>
    <row r="565" spans="7:8" x14ac:dyDescent="0.25">
      <c r="G565" s="6" t="str">
        <f t="shared" si="24"/>
        <v/>
      </c>
      <c r="H565" s="13" t="str">
        <f t="shared" si="25"/>
        <v/>
      </c>
    </row>
    <row r="566" spans="7:8" x14ac:dyDescent="0.25">
      <c r="G566" s="6" t="str">
        <f t="shared" si="24"/>
        <v/>
      </c>
      <c r="H566" s="13" t="str">
        <f t="shared" si="25"/>
        <v/>
      </c>
    </row>
    <row r="567" spans="7:8" x14ac:dyDescent="0.25">
      <c r="G567" s="6" t="str">
        <f t="shared" si="24"/>
        <v/>
      </c>
      <c r="H567" s="13" t="str">
        <f t="shared" si="25"/>
        <v/>
      </c>
    </row>
    <row r="568" spans="7:8" x14ac:dyDescent="0.25">
      <c r="G568" s="6" t="str">
        <f t="shared" ref="G568:G605" si="26">IF(F568 = "n", "NA", "")</f>
        <v/>
      </c>
      <c r="H568" s="13" t="str">
        <f t="shared" ref="H568:H605" si="27">IF(G568 = "y", "NA", "")</f>
        <v/>
      </c>
    </row>
    <row r="569" spans="7:8" x14ac:dyDescent="0.25">
      <c r="G569" s="6" t="str">
        <f t="shared" si="26"/>
        <v/>
      </c>
      <c r="H569" s="13" t="str">
        <f t="shared" si="27"/>
        <v/>
      </c>
    </row>
    <row r="570" spans="7:8" x14ac:dyDescent="0.25">
      <c r="G570" s="6" t="str">
        <f t="shared" si="26"/>
        <v/>
      </c>
      <c r="H570" s="13" t="str">
        <f t="shared" si="27"/>
        <v/>
      </c>
    </row>
    <row r="571" spans="7:8" x14ac:dyDescent="0.25">
      <c r="G571" s="6" t="str">
        <f t="shared" si="26"/>
        <v/>
      </c>
      <c r="H571" s="13" t="str">
        <f t="shared" si="27"/>
        <v/>
      </c>
    </row>
    <row r="572" spans="7:8" x14ac:dyDescent="0.25">
      <c r="G572" s="6" t="str">
        <f t="shared" si="26"/>
        <v/>
      </c>
      <c r="H572" s="13" t="str">
        <f t="shared" si="27"/>
        <v/>
      </c>
    </row>
    <row r="573" spans="7:8" x14ac:dyDescent="0.25">
      <c r="G573" s="6" t="str">
        <f t="shared" si="26"/>
        <v/>
      </c>
      <c r="H573" s="13" t="str">
        <f t="shared" si="27"/>
        <v/>
      </c>
    </row>
    <row r="574" spans="7:8" x14ac:dyDescent="0.25">
      <c r="G574" s="6" t="str">
        <f t="shared" si="26"/>
        <v/>
      </c>
      <c r="H574" s="13" t="str">
        <f t="shared" si="27"/>
        <v/>
      </c>
    </row>
    <row r="575" spans="7:8" x14ac:dyDescent="0.25">
      <c r="G575" s="6" t="str">
        <f t="shared" si="26"/>
        <v/>
      </c>
      <c r="H575" s="13" t="str">
        <f t="shared" si="27"/>
        <v/>
      </c>
    </row>
    <row r="576" spans="7:8" x14ac:dyDescent="0.25">
      <c r="G576" s="6" t="str">
        <f t="shared" si="26"/>
        <v/>
      </c>
      <c r="H576" s="13" t="str">
        <f t="shared" si="27"/>
        <v/>
      </c>
    </row>
    <row r="577" spans="7:8" x14ac:dyDescent="0.25">
      <c r="G577" s="6" t="str">
        <f t="shared" si="26"/>
        <v/>
      </c>
      <c r="H577" s="13" t="str">
        <f t="shared" si="27"/>
        <v/>
      </c>
    </row>
    <row r="578" spans="7:8" x14ac:dyDescent="0.25">
      <c r="G578" s="6" t="str">
        <f t="shared" si="26"/>
        <v/>
      </c>
      <c r="H578" s="13" t="str">
        <f t="shared" si="27"/>
        <v/>
      </c>
    </row>
    <row r="579" spans="7:8" x14ac:dyDescent="0.25">
      <c r="G579" s="6" t="str">
        <f t="shared" si="26"/>
        <v/>
      </c>
      <c r="H579" s="13" t="str">
        <f t="shared" si="27"/>
        <v/>
      </c>
    </row>
    <row r="580" spans="7:8" x14ac:dyDescent="0.25">
      <c r="G580" s="6" t="str">
        <f t="shared" si="26"/>
        <v/>
      </c>
      <c r="H580" s="13" t="str">
        <f t="shared" si="27"/>
        <v/>
      </c>
    </row>
    <row r="581" spans="7:8" x14ac:dyDescent="0.25">
      <c r="G581" s="6" t="str">
        <f t="shared" si="26"/>
        <v/>
      </c>
      <c r="H581" s="13" t="str">
        <f t="shared" si="27"/>
        <v/>
      </c>
    </row>
    <row r="582" spans="7:8" x14ac:dyDescent="0.25">
      <c r="G582" s="6" t="str">
        <f t="shared" si="26"/>
        <v/>
      </c>
      <c r="H582" s="13" t="str">
        <f t="shared" si="27"/>
        <v/>
      </c>
    </row>
    <row r="583" spans="7:8" x14ac:dyDescent="0.25">
      <c r="G583" s="6" t="str">
        <f t="shared" si="26"/>
        <v/>
      </c>
      <c r="H583" s="13" t="str">
        <f t="shared" si="27"/>
        <v/>
      </c>
    </row>
    <row r="584" spans="7:8" x14ac:dyDescent="0.25">
      <c r="G584" s="6" t="str">
        <f t="shared" si="26"/>
        <v/>
      </c>
      <c r="H584" s="13" t="str">
        <f t="shared" si="27"/>
        <v/>
      </c>
    </row>
    <row r="585" spans="7:8" x14ac:dyDescent="0.25">
      <c r="G585" s="6" t="str">
        <f t="shared" si="26"/>
        <v/>
      </c>
      <c r="H585" s="13" t="str">
        <f t="shared" si="27"/>
        <v/>
      </c>
    </row>
    <row r="586" spans="7:8" x14ac:dyDescent="0.25">
      <c r="G586" s="6" t="str">
        <f t="shared" si="26"/>
        <v/>
      </c>
      <c r="H586" s="13" t="str">
        <f t="shared" si="27"/>
        <v/>
      </c>
    </row>
    <row r="587" spans="7:8" x14ac:dyDescent="0.25">
      <c r="G587" s="6" t="str">
        <f t="shared" si="26"/>
        <v/>
      </c>
      <c r="H587" s="13" t="str">
        <f t="shared" si="27"/>
        <v/>
      </c>
    </row>
    <row r="588" spans="7:8" x14ac:dyDescent="0.25">
      <c r="G588" s="6" t="str">
        <f t="shared" si="26"/>
        <v/>
      </c>
      <c r="H588" s="13" t="str">
        <f t="shared" si="27"/>
        <v/>
      </c>
    </row>
    <row r="589" spans="7:8" x14ac:dyDescent="0.25">
      <c r="G589" s="6" t="str">
        <f t="shared" si="26"/>
        <v/>
      </c>
      <c r="H589" s="13" t="str">
        <f t="shared" si="27"/>
        <v/>
      </c>
    </row>
    <row r="590" spans="7:8" x14ac:dyDescent="0.25">
      <c r="G590" s="6" t="str">
        <f t="shared" si="26"/>
        <v/>
      </c>
      <c r="H590" s="13" t="str">
        <f t="shared" si="27"/>
        <v/>
      </c>
    </row>
    <row r="591" spans="7:8" x14ac:dyDescent="0.25">
      <c r="G591" s="6" t="str">
        <f t="shared" si="26"/>
        <v/>
      </c>
      <c r="H591" s="13" t="str">
        <f t="shared" si="27"/>
        <v/>
      </c>
    </row>
    <row r="592" spans="7:8" x14ac:dyDescent="0.25">
      <c r="G592" s="6" t="str">
        <f t="shared" si="26"/>
        <v/>
      </c>
      <c r="H592" s="13" t="str">
        <f t="shared" si="27"/>
        <v/>
      </c>
    </row>
    <row r="593" spans="7:8" x14ac:dyDescent="0.25">
      <c r="G593" s="6" t="str">
        <f t="shared" si="26"/>
        <v/>
      </c>
      <c r="H593" s="13" t="str">
        <f t="shared" si="27"/>
        <v/>
      </c>
    </row>
    <row r="594" spans="7:8" x14ac:dyDescent="0.25">
      <c r="G594" s="6" t="str">
        <f t="shared" si="26"/>
        <v/>
      </c>
      <c r="H594" s="13" t="str">
        <f t="shared" si="27"/>
        <v/>
      </c>
    </row>
    <row r="595" spans="7:8" x14ac:dyDescent="0.25">
      <c r="G595" s="6" t="str">
        <f t="shared" si="26"/>
        <v/>
      </c>
      <c r="H595" s="13" t="str">
        <f t="shared" si="27"/>
        <v/>
      </c>
    </row>
    <row r="596" spans="7:8" x14ac:dyDescent="0.25">
      <c r="G596" s="6" t="str">
        <f t="shared" si="26"/>
        <v/>
      </c>
      <c r="H596" s="13" t="str">
        <f t="shared" si="27"/>
        <v/>
      </c>
    </row>
    <row r="597" spans="7:8" x14ac:dyDescent="0.25">
      <c r="G597" s="6" t="str">
        <f t="shared" si="26"/>
        <v/>
      </c>
      <c r="H597" s="13" t="str">
        <f t="shared" si="27"/>
        <v/>
      </c>
    </row>
    <row r="598" spans="7:8" x14ac:dyDescent="0.25">
      <c r="G598" s="6" t="str">
        <f t="shared" si="26"/>
        <v/>
      </c>
      <c r="H598" s="13" t="str">
        <f t="shared" si="27"/>
        <v/>
      </c>
    </row>
    <row r="599" spans="7:8" x14ac:dyDescent="0.25">
      <c r="G599" s="6" t="str">
        <f t="shared" si="26"/>
        <v/>
      </c>
      <c r="H599" s="13" t="str">
        <f t="shared" si="27"/>
        <v/>
      </c>
    </row>
    <row r="600" spans="7:8" x14ac:dyDescent="0.25">
      <c r="G600" s="6" t="str">
        <f t="shared" si="26"/>
        <v/>
      </c>
      <c r="H600" s="13" t="str">
        <f t="shared" si="27"/>
        <v/>
      </c>
    </row>
    <row r="601" spans="7:8" x14ac:dyDescent="0.25">
      <c r="G601" s="6" t="str">
        <f t="shared" si="26"/>
        <v/>
      </c>
      <c r="H601" s="13" t="str">
        <f t="shared" si="27"/>
        <v/>
      </c>
    </row>
    <row r="602" spans="7:8" x14ac:dyDescent="0.25">
      <c r="G602" s="6" t="str">
        <f t="shared" si="26"/>
        <v/>
      </c>
      <c r="H602" s="13" t="str">
        <f t="shared" si="27"/>
        <v/>
      </c>
    </row>
    <row r="603" spans="7:8" x14ac:dyDescent="0.25">
      <c r="G603" s="6" t="str">
        <f t="shared" si="26"/>
        <v/>
      </c>
      <c r="H603" s="13" t="str">
        <f t="shared" si="27"/>
        <v/>
      </c>
    </row>
    <row r="604" spans="7:8" x14ac:dyDescent="0.25">
      <c r="G604" s="6" t="str">
        <f t="shared" si="26"/>
        <v/>
      </c>
      <c r="H604" s="13" t="str">
        <f t="shared" si="27"/>
        <v/>
      </c>
    </row>
    <row r="605" spans="7:8" x14ac:dyDescent="0.25">
      <c r="G605" s="6" t="str">
        <f t="shared" si="26"/>
        <v/>
      </c>
      <c r="H605" s="13" t="str">
        <f t="shared" si="27"/>
        <v/>
      </c>
    </row>
    <row r="1048178" spans="2:2" x14ac:dyDescent="0.25">
      <c r="B1048178" s="4"/>
    </row>
    <row r="1048181" spans="2:2" x14ac:dyDescent="0.25">
      <c r="B1048181" s="4">
        <v>0.55186342592592597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2023-06-03T17:15:41Z</dcterms:modified>
</cp:coreProperties>
</file>