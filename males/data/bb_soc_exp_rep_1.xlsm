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nya\Desktop\R\bb_soc_exp\data\"/>
    </mc:Choice>
  </mc:AlternateContent>
  <xr:revisionPtr revIDLastSave="0" documentId="13_ncr:1_{EDC62D75-5F35-4092-A58D-B6A1B87F63A9}" xr6:coauthVersionLast="47" xr6:coauthVersionMax="47" xr10:uidLastSave="{00000000-0000-0000-0000-000000000000}"/>
  <bookViews>
    <workbookView xWindow="28680" yWindow="-120" windowWidth="29040" windowHeight="15720" xr2:uid="{D79A3F70-BFC8-4B9F-88DD-F2FD3547E41D}"/>
  </bookViews>
  <sheets>
    <sheet name="rep_1" sheetId="1" r:id="rId1"/>
  </sheets>
  <definedNames>
    <definedName name="_xlnm._FilterDatabase" localSheetId="0" hidden="1">rep_1!$B$1:$J$1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8" i="1" l="1"/>
  <c r="I59" i="1"/>
  <c r="I60" i="1"/>
  <c r="I61" i="1"/>
  <c r="I57" i="1"/>
  <c r="I66" i="1"/>
  <c r="I47" i="1"/>
  <c r="I48" i="1"/>
  <c r="I46" i="1"/>
  <c r="I40" i="1"/>
  <c r="I39" i="1"/>
  <c r="I32" i="1"/>
  <c r="I26" i="1"/>
  <c r="I20" i="1"/>
  <c r="I21" i="1"/>
  <c r="I22" i="1"/>
  <c r="I23" i="1"/>
  <c r="I24" i="1"/>
  <c r="I19" i="1"/>
  <c r="I16" i="1"/>
  <c r="I17" i="1"/>
  <c r="I15" i="1"/>
  <c r="I9" i="1"/>
  <c r="I10" i="1"/>
  <c r="I8" i="1"/>
  <c r="I5" i="1"/>
  <c r="I4" i="1"/>
  <c r="I2" i="1"/>
  <c r="H617" i="1" l="1"/>
  <c r="I617" i="1" s="1"/>
  <c r="H618" i="1"/>
  <c r="H619" i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H626" i="1"/>
  <c r="I626" i="1" s="1"/>
  <c r="H627" i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H642" i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H650" i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H666" i="1"/>
  <c r="I666" i="1" s="1"/>
  <c r="H667" i="1"/>
  <c r="I667" i="1" s="1"/>
  <c r="H668" i="1"/>
  <c r="I668" i="1" s="1"/>
  <c r="H669" i="1"/>
  <c r="H670" i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H678" i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H706" i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H714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H730" i="1"/>
  <c r="I730" i="1" s="1"/>
  <c r="H731" i="1"/>
  <c r="I731" i="1" s="1"/>
  <c r="H732" i="1"/>
  <c r="I732" i="1" s="1"/>
  <c r="H733" i="1"/>
  <c r="H734" i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H742" i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H770" i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H778" i="1"/>
  <c r="H779" i="1"/>
  <c r="H780" i="1"/>
  <c r="I780" i="1" s="1"/>
  <c r="H781" i="1"/>
  <c r="I781" i="1" s="1"/>
  <c r="H782" i="1"/>
  <c r="I782" i="1" s="1"/>
  <c r="H783" i="1"/>
  <c r="H784" i="1"/>
  <c r="I784" i="1" s="1"/>
  <c r="H785" i="1"/>
  <c r="I785" i="1" s="1"/>
  <c r="H786" i="1"/>
  <c r="I786" i="1" s="1"/>
  <c r="H787" i="1"/>
  <c r="H788" i="1"/>
  <c r="I788" i="1" s="1"/>
  <c r="H789" i="1"/>
  <c r="H790" i="1"/>
  <c r="I790" i="1" s="1"/>
  <c r="H233" i="1"/>
  <c r="I234" i="1"/>
  <c r="H235" i="1"/>
  <c r="H236" i="1"/>
  <c r="H237" i="1"/>
  <c r="I237" i="1" s="1"/>
  <c r="H238" i="1"/>
  <c r="H239" i="1"/>
  <c r="H240" i="1"/>
  <c r="I240" i="1" s="1"/>
  <c r="H241" i="1"/>
  <c r="H242" i="1"/>
  <c r="H243" i="1"/>
  <c r="H244" i="1"/>
  <c r="I244" i="1" s="1"/>
  <c r="H245" i="1"/>
  <c r="H247" i="1"/>
  <c r="H248" i="1"/>
  <c r="H249" i="1"/>
  <c r="H251" i="1"/>
  <c r="I252" i="1"/>
  <c r="H253" i="1"/>
  <c r="H254" i="1"/>
  <c r="H257" i="1"/>
  <c r="I257" i="1" s="1"/>
  <c r="H258" i="1"/>
  <c r="H259" i="1"/>
  <c r="H260" i="1"/>
  <c r="H262" i="1"/>
  <c r="H263" i="1"/>
  <c r="I263" i="1" s="1"/>
  <c r="I264" i="1"/>
  <c r="H265" i="1"/>
  <c r="H266" i="1"/>
  <c r="I266" i="1" s="1"/>
  <c r="H267" i="1"/>
  <c r="I267" i="1" s="1"/>
  <c r="H269" i="1"/>
  <c r="H270" i="1"/>
  <c r="I270" i="1" s="1"/>
  <c r="H271" i="1"/>
  <c r="I272" i="1"/>
  <c r="H273" i="1"/>
  <c r="H274" i="1"/>
  <c r="H276" i="1"/>
  <c r="I277" i="1"/>
  <c r="H278" i="1"/>
  <c r="H279" i="1"/>
  <c r="H280" i="1"/>
  <c r="H282" i="1"/>
  <c r="H283" i="1"/>
  <c r="I284" i="1"/>
  <c r="H285" i="1"/>
  <c r="H286" i="1"/>
  <c r="H287" i="1"/>
  <c r="H288" i="1"/>
  <c r="H289" i="1"/>
  <c r="H290" i="1"/>
  <c r="I290" i="1" s="1"/>
  <c r="H291" i="1"/>
  <c r="I291" i="1" s="1"/>
  <c r="H292" i="1"/>
  <c r="H295" i="1"/>
  <c r="I295" i="1" s="1"/>
  <c r="I296" i="1"/>
  <c r="H297" i="1"/>
  <c r="H298" i="1"/>
  <c r="H299" i="1"/>
  <c r="I299" i="1" s="1"/>
  <c r="H300" i="1"/>
  <c r="I300" i="1" s="1"/>
  <c r="H301" i="1"/>
  <c r="H302" i="1"/>
  <c r="H303" i="1"/>
  <c r="H304" i="1"/>
  <c r="H305" i="1"/>
  <c r="H307" i="1"/>
  <c r="H308" i="1"/>
  <c r="H309" i="1"/>
  <c r="H310" i="1"/>
  <c r="I311" i="1"/>
  <c r="I312" i="1"/>
  <c r="H314" i="1"/>
  <c r="I314" i="1" s="1"/>
  <c r="I315" i="1"/>
  <c r="H316" i="1"/>
  <c r="H317" i="1"/>
  <c r="I318" i="1"/>
  <c r="H319" i="1"/>
  <c r="I320" i="1"/>
  <c r="H321" i="1"/>
  <c r="H322" i="1"/>
  <c r="H324" i="1"/>
  <c r="I325" i="1"/>
  <c r="H328" i="1"/>
  <c r="I328" i="1" s="1"/>
  <c r="H329" i="1"/>
  <c r="I329" i="1" s="1"/>
  <c r="H330" i="1"/>
  <c r="I330" i="1" s="1"/>
  <c r="H331" i="1"/>
  <c r="H332" i="1"/>
  <c r="H333" i="1"/>
  <c r="H334" i="1"/>
  <c r="I334" i="1" s="1"/>
  <c r="I335" i="1"/>
  <c r="H336" i="1"/>
  <c r="I337" i="1"/>
  <c r="H338" i="1"/>
  <c r="H339" i="1"/>
  <c r="H340" i="1"/>
  <c r="I341" i="1"/>
  <c r="H342" i="1"/>
  <c r="I342" i="1" s="1"/>
  <c r="H343" i="1"/>
  <c r="I343" i="1" s="1"/>
  <c r="H345" i="1"/>
  <c r="I346" i="1"/>
  <c r="H348" i="1"/>
  <c r="H349" i="1"/>
  <c r="H350" i="1"/>
  <c r="I350" i="1" s="1"/>
  <c r="H352" i="1"/>
  <c r="I353" i="1"/>
  <c r="H354" i="1"/>
  <c r="H355" i="1"/>
  <c r="H357" i="1"/>
  <c r="H358" i="1"/>
  <c r="I358" i="1" s="1"/>
  <c r="H359" i="1"/>
  <c r="I359" i="1" s="1"/>
  <c r="H360" i="1"/>
  <c r="H361" i="1"/>
  <c r="H362" i="1"/>
  <c r="H364" i="1"/>
  <c r="I364" i="1" s="1"/>
  <c r="H365" i="1"/>
  <c r="I365" i="1" s="1"/>
  <c r="H366" i="1"/>
  <c r="H367" i="1"/>
  <c r="H368" i="1"/>
  <c r="H369" i="1"/>
  <c r="H370" i="1"/>
  <c r="H371" i="1"/>
  <c r="H372" i="1"/>
  <c r="H373" i="1"/>
  <c r="H374" i="1"/>
  <c r="H375" i="1"/>
  <c r="H376" i="1"/>
  <c r="H377" i="1"/>
  <c r="I378" i="1"/>
  <c r="I381" i="1"/>
  <c r="H383" i="1"/>
  <c r="I383" i="1" s="1"/>
  <c r="H384" i="1"/>
  <c r="I384" i="1" s="1"/>
  <c r="H385" i="1"/>
  <c r="I385" i="1" s="1"/>
  <c r="H386" i="1"/>
  <c r="I386" i="1" s="1"/>
  <c r="H389" i="1"/>
  <c r="H390" i="1"/>
  <c r="H391" i="1"/>
  <c r="I391" i="1" s="1"/>
  <c r="H392" i="1"/>
  <c r="I392" i="1" s="1"/>
  <c r="H393" i="1"/>
  <c r="H396" i="1"/>
  <c r="I396" i="1" s="1"/>
  <c r="H397" i="1"/>
  <c r="I397" i="1" s="1"/>
  <c r="I398" i="1"/>
  <c r="H401" i="1"/>
  <c r="I401" i="1" s="1"/>
  <c r="H402" i="1"/>
  <c r="H403" i="1"/>
  <c r="I403" i="1" s="1"/>
  <c r="H404" i="1"/>
  <c r="I404" i="1" s="1"/>
  <c r="H405" i="1"/>
  <c r="I405" i="1" s="1"/>
  <c r="H407" i="1"/>
  <c r="H408" i="1"/>
  <c r="H409" i="1"/>
  <c r="H410" i="1"/>
  <c r="I410" i="1" s="1"/>
  <c r="I411" i="1"/>
  <c r="H412" i="1"/>
  <c r="I412" i="1" s="1"/>
  <c r="H413" i="1"/>
  <c r="I413" i="1" s="1"/>
  <c r="H414" i="1"/>
  <c r="I414" i="1" s="1"/>
  <c r="H415" i="1"/>
  <c r="I415" i="1" s="1"/>
  <c r="H416" i="1"/>
  <c r="H417" i="1"/>
  <c r="I418" i="1"/>
  <c r="H419" i="1"/>
  <c r="H420" i="1"/>
  <c r="I421" i="1"/>
  <c r="I422" i="1"/>
  <c r="H423" i="1"/>
  <c r="I423" i="1" s="1"/>
  <c r="H424" i="1"/>
  <c r="I424" i="1" s="1"/>
  <c r="H425" i="1"/>
  <c r="I425" i="1" s="1"/>
  <c r="H426" i="1"/>
  <c r="H427" i="1"/>
  <c r="I427" i="1" s="1"/>
  <c r="H429" i="1"/>
  <c r="H430" i="1"/>
  <c r="H431" i="1"/>
  <c r="H432" i="1"/>
  <c r="H433" i="1"/>
  <c r="I433" i="1" s="1"/>
  <c r="H434" i="1"/>
  <c r="H435" i="1"/>
  <c r="I435" i="1" s="1"/>
  <c r="H436" i="1"/>
  <c r="I436" i="1" s="1"/>
  <c r="H437" i="1"/>
  <c r="I437" i="1" s="1"/>
  <c r="H438" i="1"/>
  <c r="H439" i="1"/>
  <c r="I439" i="1" s="1"/>
  <c r="H440" i="1"/>
  <c r="I440" i="1" s="1"/>
  <c r="I441" i="1"/>
  <c r="H442" i="1"/>
  <c r="H443" i="1"/>
  <c r="I443" i="1" s="1"/>
  <c r="H444" i="1"/>
  <c r="H445" i="1"/>
  <c r="I445" i="1" s="1"/>
  <c r="H447" i="1"/>
  <c r="I447" i="1" s="1"/>
  <c r="H448" i="1"/>
  <c r="H449" i="1"/>
  <c r="H450" i="1"/>
  <c r="I450" i="1" s="1"/>
  <c r="H451" i="1"/>
  <c r="H452" i="1"/>
  <c r="H453" i="1"/>
  <c r="H454" i="1"/>
  <c r="H455" i="1"/>
  <c r="H456" i="1"/>
  <c r="H457" i="1"/>
  <c r="H458" i="1"/>
  <c r="I458" i="1" s="1"/>
  <c r="H459" i="1"/>
  <c r="H460" i="1"/>
  <c r="I460" i="1" s="1"/>
  <c r="H461" i="1"/>
  <c r="H462" i="1"/>
  <c r="H463" i="1"/>
  <c r="H464" i="1"/>
  <c r="H465" i="1"/>
  <c r="H466" i="1"/>
  <c r="H467" i="1"/>
  <c r="H468" i="1"/>
  <c r="H469" i="1"/>
  <c r="H470" i="1"/>
  <c r="H471" i="1"/>
  <c r="I471" i="1" s="1"/>
  <c r="H472" i="1"/>
  <c r="H473" i="1"/>
  <c r="I474" i="1"/>
  <c r="H475" i="1"/>
  <c r="H476" i="1"/>
  <c r="I476" i="1" s="1"/>
  <c r="H477" i="1"/>
  <c r="I477" i="1" s="1"/>
  <c r="H478" i="1"/>
  <c r="H479" i="1"/>
  <c r="I479" i="1" s="1"/>
  <c r="H480" i="1"/>
  <c r="H481" i="1"/>
  <c r="H482" i="1"/>
  <c r="H483" i="1"/>
  <c r="H484" i="1"/>
  <c r="H485" i="1"/>
  <c r="H486" i="1"/>
  <c r="I486" i="1" s="1"/>
  <c r="I487" i="1"/>
  <c r="H488" i="1"/>
  <c r="H489" i="1"/>
  <c r="I489" i="1" s="1"/>
  <c r="H490" i="1"/>
  <c r="I490" i="1" s="1"/>
  <c r="H492" i="1"/>
  <c r="I492" i="1" s="1"/>
  <c r="H494" i="1"/>
  <c r="I494" i="1" s="1"/>
  <c r="H495" i="1"/>
  <c r="H496" i="1"/>
  <c r="H497" i="1"/>
  <c r="I497" i="1" s="1"/>
  <c r="H498" i="1"/>
  <c r="H499" i="1"/>
  <c r="H500" i="1"/>
  <c r="I500" i="1" s="1"/>
  <c r="H501" i="1"/>
  <c r="I501" i="1" s="1"/>
  <c r="H502" i="1"/>
  <c r="H503" i="1"/>
  <c r="H504" i="1"/>
  <c r="H505" i="1"/>
  <c r="H506" i="1"/>
  <c r="H507" i="1"/>
  <c r="H508" i="1"/>
  <c r="H509" i="1"/>
  <c r="H510" i="1"/>
  <c r="H511" i="1"/>
  <c r="I511" i="1" s="1"/>
  <c r="H512" i="1"/>
  <c r="I512" i="1" s="1"/>
  <c r="H513" i="1"/>
  <c r="I513" i="1" s="1"/>
  <c r="H514" i="1"/>
  <c r="I514" i="1" s="1"/>
  <c r="H515" i="1"/>
  <c r="I515" i="1" s="1"/>
  <c r="H516" i="1"/>
  <c r="H517" i="1"/>
  <c r="I517" i="1" s="1"/>
  <c r="H518" i="1"/>
  <c r="I518" i="1" s="1"/>
  <c r="H519" i="1"/>
  <c r="I519" i="1" s="1"/>
  <c r="H520" i="1"/>
  <c r="I520" i="1" s="1"/>
  <c r="H521" i="1"/>
  <c r="I521" i="1" s="1"/>
  <c r="H522" i="1"/>
  <c r="I522" i="1" s="1"/>
  <c r="H523" i="1"/>
  <c r="I523" i="1" s="1"/>
  <c r="H524" i="1"/>
  <c r="I524" i="1" s="1"/>
  <c r="H525" i="1"/>
  <c r="I525" i="1" s="1"/>
  <c r="H526" i="1"/>
  <c r="H527" i="1"/>
  <c r="H528" i="1"/>
  <c r="H529" i="1"/>
  <c r="I529" i="1" s="1"/>
  <c r="H530" i="1"/>
  <c r="I530" i="1" s="1"/>
  <c r="H531" i="1"/>
  <c r="I531" i="1" s="1"/>
  <c r="H532" i="1"/>
  <c r="I532" i="1" s="1"/>
  <c r="H533" i="1"/>
  <c r="I533" i="1" s="1"/>
  <c r="H534" i="1"/>
  <c r="I534" i="1" s="1"/>
  <c r="H535" i="1"/>
  <c r="H536" i="1"/>
  <c r="I536" i="1" s="1"/>
  <c r="H537" i="1"/>
  <c r="I537" i="1" s="1"/>
  <c r="H538" i="1"/>
  <c r="I538" i="1" s="1"/>
  <c r="H539" i="1"/>
  <c r="I539" i="1" s="1"/>
  <c r="H540" i="1"/>
  <c r="I540" i="1" s="1"/>
  <c r="H541" i="1"/>
  <c r="I541" i="1" s="1"/>
  <c r="H542" i="1"/>
  <c r="I542" i="1" s="1"/>
  <c r="H543" i="1"/>
  <c r="I543" i="1" s="1"/>
  <c r="H544" i="1"/>
  <c r="I544" i="1" s="1"/>
  <c r="H545" i="1"/>
  <c r="I545" i="1" s="1"/>
  <c r="H546" i="1"/>
  <c r="I546" i="1" s="1"/>
  <c r="H547" i="1"/>
  <c r="I547" i="1" s="1"/>
  <c r="H548" i="1"/>
  <c r="H549" i="1"/>
  <c r="I549" i="1" s="1"/>
  <c r="H550" i="1"/>
  <c r="I550" i="1" s="1"/>
  <c r="H551" i="1"/>
  <c r="I551" i="1" s="1"/>
  <c r="H552" i="1"/>
  <c r="I552" i="1" s="1"/>
  <c r="H553" i="1"/>
  <c r="I553" i="1" s="1"/>
  <c r="H554" i="1"/>
  <c r="I554" i="1" s="1"/>
  <c r="H555" i="1"/>
  <c r="I555" i="1" s="1"/>
  <c r="H556" i="1"/>
  <c r="I556" i="1" s="1"/>
  <c r="H557" i="1"/>
  <c r="I557" i="1" s="1"/>
  <c r="H558" i="1"/>
  <c r="I558" i="1" s="1"/>
  <c r="H559" i="1"/>
  <c r="I559" i="1" s="1"/>
  <c r="H560" i="1"/>
  <c r="H561" i="1"/>
  <c r="I561" i="1" s="1"/>
  <c r="H562" i="1"/>
  <c r="I562" i="1" s="1"/>
  <c r="H563" i="1"/>
  <c r="I563" i="1" s="1"/>
  <c r="H564" i="1"/>
  <c r="I564" i="1" s="1"/>
  <c r="H565" i="1"/>
  <c r="I565" i="1" s="1"/>
  <c r="H566" i="1"/>
  <c r="I566" i="1" s="1"/>
  <c r="H567" i="1"/>
  <c r="I567" i="1" s="1"/>
  <c r="H568" i="1"/>
  <c r="I568" i="1" s="1"/>
  <c r="H569" i="1"/>
  <c r="I569" i="1" s="1"/>
  <c r="H570" i="1"/>
  <c r="I570" i="1" s="1"/>
  <c r="H571" i="1"/>
  <c r="I571" i="1" s="1"/>
  <c r="H572" i="1"/>
  <c r="I572" i="1" s="1"/>
  <c r="H573" i="1"/>
  <c r="I573" i="1" s="1"/>
  <c r="H574" i="1"/>
  <c r="I574" i="1" s="1"/>
  <c r="H575" i="1"/>
  <c r="I575" i="1" s="1"/>
  <c r="H576" i="1"/>
  <c r="I576" i="1" s="1"/>
  <c r="H577" i="1"/>
  <c r="I577" i="1" s="1"/>
  <c r="H578" i="1"/>
  <c r="H579" i="1"/>
  <c r="I579" i="1" s="1"/>
  <c r="H580" i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H588" i="1"/>
  <c r="I588" i="1" s="1"/>
  <c r="H589" i="1"/>
  <c r="I589" i="1" s="1"/>
  <c r="H590" i="1"/>
  <c r="I590" i="1" s="1"/>
  <c r="H591" i="1"/>
  <c r="I591" i="1" s="1"/>
  <c r="H592" i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H613" i="1"/>
  <c r="I613" i="1" s="1"/>
  <c r="H614" i="1"/>
  <c r="I614" i="1" s="1"/>
  <c r="H615" i="1"/>
  <c r="I615" i="1" s="1"/>
  <c r="H616" i="1"/>
  <c r="I616" i="1" s="1"/>
  <c r="I625" i="1"/>
  <c r="H229" i="1"/>
  <c r="I229" i="1" s="1"/>
  <c r="H231" i="1"/>
  <c r="I231" i="1" s="1"/>
  <c r="I232" i="1"/>
  <c r="H228" i="1"/>
  <c r="I228" i="1" s="1"/>
  <c r="H177" i="1"/>
  <c r="I177" i="1" s="1"/>
  <c r="I217" i="1"/>
  <c r="I219" i="1"/>
  <c r="I222" i="1"/>
  <c r="I224" i="1"/>
  <c r="I227" i="1"/>
  <c r="I230" i="1"/>
  <c r="I235" i="1"/>
  <c r="I239" i="1"/>
  <c r="I250" i="1"/>
  <c r="I251" i="1"/>
  <c r="I253" i="1"/>
  <c r="I255" i="1"/>
  <c r="I261" i="1"/>
  <c r="I262" i="1"/>
  <c r="I275" i="1"/>
  <c r="I281" i="1"/>
  <c r="I294" i="1"/>
  <c r="I306" i="1"/>
  <c r="I313" i="1"/>
  <c r="I323" i="1"/>
  <c r="I332" i="1"/>
  <c r="I336" i="1"/>
  <c r="I363" i="1"/>
  <c r="I432" i="1"/>
  <c r="I446" i="1"/>
  <c r="I496" i="1"/>
  <c r="I516" i="1"/>
  <c r="I526" i="1"/>
  <c r="I527" i="1"/>
  <c r="I528" i="1"/>
  <c r="I535" i="1"/>
  <c r="I548" i="1"/>
  <c r="I560" i="1"/>
  <c r="I578" i="1"/>
  <c r="I580" i="1"/>
  <c r="I587" i="1"/>
  <c r="I592" i="1"/>
  <c r="I612" i="1"/>
  <c r="I618" i="1"/>
  <c r="I619" i="1"/>
  <c r="I627" i="1"/>
  <c r="I641" i="1"/>
  <c r="I642" i="1"/>
  <c r="I649" i="1"/>
  <c r="I650" i="1"/>
  <c r="I657" i="1"/>
  <c r="I665" i="1"/>
  <c r="I669" i="1"/>
  <c r="I670" i="1"/>
  <c r="I677" i="1"/>
  <c r="I678" i="1"/>
  <c r="I685" i="1"/>
  <c r="I693" i="1"/>
  <c r="I705" i="1"/>
  <c r="I706" i="1"/>
  <c r="I713" i="1"/>
  <c r="I714" i="1"/>
  <c r="I721" i="1"/>
  <c r="I729" i="1"/>
  <c r="I733" i="1"/>
  <c r="I734" i="1"/>
  <c r="I741" i="1"/>
  <c r="I742" i="1"/>
  <c r="I749" i="1"/>
  <c r="I757" i="1"/>
  <c r="I769" i="1"/>
  <c r="I770" i="1"/>
  <c r="I777" i="1"/>
  <c r="I778" i="1"/>
  <c r="I779" i="1"/>
  <c r="I783" i="1"/>
  <c r="I787" i="1"/>
  <c r="I789" i="1"/>
  <c r="I791" i="1"/>
  <c r="I792" i="1"/>
  <c r="I793" i="1"/>
  <c r="I794" i="1"/>
  <c r="I795" i="1"/>
  <c r="I796" i="1"/>
  <c r="I797" i="1"/>
  <c r="I143" i="1"/>
  <c r="B130" i="1"/>
  <c r="I50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9" i="1"/>
  <c r="H20" i="1"/>
  <c r="H21" i="1"/>
  <c r="H22" i="1"/>
  <c r="H23" i="1"/>
  <c r="H24" i="1"/>
  <c r="H25" i="1"/>
  <c r="H26" i="1"/>
  <c r="H28" i="1"/>
  <c r="H29" i="1"/>
  <c r="H32" i="1"/>
  <c r="H34" i="1"/>
  <c r="H35" i="1"/>
  <c r="H37" i="1"/>
  <c r="H38" i="1"/>
  <c r="H39" i="1"/>
  <c r="H40" i="1"/>
  <c r="H42" i="1"/>
  <c r="H43" i="1"/>
  <c r="H44" i="1"/>
  <c r="H45" i="1"/>
  <c r="H46" i="1"/>
  <c r="H47" i="1"/>
  <c r="H48" i="1"/>
  <c r="H49" i="1"/>
  <c r="H50" i="1"/>
  <c r="H51" i="1"/>
  <c r="I51" i="1" s="1"/>
  <c r="H52" i="1"/>
  <c r="H53" i="1"/>
  <c r="I53" i="1" s="1"/>
  <c r="H54" i="1"/>
  <c r="H56" i="1"/>
  <c r="H57" i="1"/>
  <c r="H58" i="1"/>
  <c r="H59" i="1"/>
  <c r="H60" i="1"/>
  <c r="H61" i="1"/>
  <c r="H67" i="1"/>
  <c r="H68" i="1"/>
  <c r="H70" i="1"/>
  <c r="I70" i="1" s="1"/>
  <c r="H71" i="1"/>
  <c r="H73" i="1"/>
  <c r="H76" i="1"/>
  <c r="I78" i="1"/>
  <c r="I80" i="1"/>
  <c r="H82" i="1"/>
  <c r="I82" i="1" s="1"/>
  <c r="H83" i="1"/>
  <c r="I83" i="1" s="1"/>
  <c r="H87" i="1"/>
  <c r="H89" i="1"/>
  <c r="H91" i="1"/>
  <c r="I91" i="1" s="1"/>
  <c r="I92" i="1"/>
  <c r="I93" i="1"/>
  <c r="H94" i="1"/>
  <c r="H95" i="1"/>
  <c r="H96" i="1"/>
  <c r="H97" i="1"/>
  <c r="H98" i="1"/>
  <c r="I98" i="1" s="1"/>
  <c r="I99" i="1"/>
  <c r="I101" i="1"/>
  <c r="I103" i="1"/>
  <c r="H104" i="1"/>
  <c r="I104" i="1" s="1"/>
  <c r="H105" i="1"/>
  <c r="I105" i="1" s="1"/>
  <c r="H106" i="1"/>
  <c r="I106" i="1" s="1"/>
  <c r="I107" i="1"/>
  <c r="H108" i="1"/>
  <c r="H109" i="1"/>
  <c r="H110" i="1"/>
  <c r="I110" i="1" s="1"/>
  <c r="H111" i="1"/>
  <c r="H113" i="1"/>
  <c r="H114" i="1"/>
  <c r="I114" i="1" s="1"/>
  <c r="H115" i="1"/>
  <c r="I115" i="1" s="1"/>
  <c r="H116" i="1"/>
  <c r="I117" i="1"/>
  <c r="H118" i="1"/>
  <c r="H119" i="1"/>
  <c r="H120" i="1"/>
  <c r="H121" i="1"/>
  <c r="H122" i="1"/>
  <c r="I122" i="1" s="1"/>
  <c r="H123" i="1"/>
  <c r="I123" i="1" s="1"/>
  <c r="I124" i="1"/>
  <c r="I125" i="1"/>
  <c r="I126" i="1"/>
  <c r="H127" i="1"/>
  <c r="I127" i="1" s="1"/>
  <c r="I128" i="1"/>
  <c r="H129" i="1"/>
  <c r="H130" i="1"/>
  <c r="I130" i="1" s="1"/>
  <c r="H131" i="1"/>
  <c r="I131" i="1" s="1"/>
  <c r="H132" i="1"/>
  <c r="I132" i="1" s="1"/>
  <c r="H133" i="1"/>
  <c r="I133" i="1" s="1"/>
  <c r="I134" i="1"/>
  <c r="I135" i="1"/>
  <c r="H136" i="1"/>
  <c r="I136" i="1" s="1"/>
  <c r="I137" i="1"/>
  <c r="H138" i="1"/>
  <c r="I139" i="1"/>
  <c r="H140" i="1"/>
  <c r="I140" i="1" s="1"/>
  <c r="H141" i="1"/>
  <c r="I141" i="1" s="1"/>
  <c r="H142" i="1"/>
  <c r="I142" i="1" s="1"/>
  <c r="H144" i="1"/>
  <c r="H146" i="1"/>
  <c r="I146" i="1" s="1"/>
  <c r="H147" i="1"/>
  <c r="I147" i="1" s="1"/>
  <c r="H148" i="1"/>
  <c r="H149" i="1"/>
  <c r="H150" i="1"/>
  <c r="H151" i="1"/>
  <c r="I151" i="1" s="1"/>
  <c r="H152" i="1"/>
  <c r="H155" i="1"/>
  <c r="I155" i="1" s="1"/>
  <c r="H157" i="1"/>
  <c r="I158" i="1"/>
  <c r="H159" i="1"/>
  <c r="I162" i="1"/>
  <c r="H163" i="1"/>
  <c r="H164" i="1"/>
  <c r="H165" i="1"/>
  <c r="H166" i="1"/>
  <c r="H167" i="1"/>
  <c r="H168" i="1"/>
  <c r="H169" i="1"/>
  <c r="I169" i="1" s="1"/>
  <c r="H170" i="1"/>
  <c r="I170" i="1" s="1"/>
  <c r="I171" i="1"/>
  <c r="H172" i="1"/>
  <c r="H173" i="1"/>
  <c r="I173" i="1" s="1"/>
  <c r="H174" i="1"/>
  <c r="I174" i="1" s="1"/>
  <c r="H175" i="1"/>
  <c r="I175" i="1" s="1"/>
  <c r="H176" i="1"/>
  <c r="I176" i="1" s="1"/>
  <c r="H178" i="1"/>
  <c r="I178" i="1" s="1"/>
  <c r="H179" i="1"/>
  <c r="I179" i="1" s="1"/>
  <c r="H180" i="1"/>
  <c r="H181" i="1"/>
  <c r="I181" i="1" s="1"/>
  <c r="H182" i="1"/>
  <c r="H183" i="1"/>
  <c r="H184" i="1"/>
  <c r="H185" i="1"/>
  <c r="H186" i="1"/>
  <c r="H187" i="1"/>
  <c r="I187" i="1" s="1"/>
  <c r="H189" i="1"/>
  <c r="H190" i="1"/>
  <c r="I190" i="1" s="1"/>
  <c r="H191" i="1"/>
  <c r="H192" i="1"/>
  <c r="I193" i="1"/>
  <c r="H195" i="1"/>
  <c r="H196" i="1"/>
  <c r="H197" i="1"/>
  <c r="H198" i="1"/>
  <c r="H199" i="1"/>
  <c r="I200" i="1"/>
  <c r="H202" i="1"/>
  <c r="I203" i="1"/>
  <c r="H204" i="1"/>
  <c r="I205" i="1"/>
  <c r="H206" i="1"/>
  <c r="H207" i="1"/>
  <c r="H209" i="1"/>
  <c r="I209" i="1" s="1"/>
  <c r="H210" i="1"/>
  <c r="I210" i="1" s="1"/>
  <c r="H211" i="1"/>
  <c r="I211" i="1" s="1"/>
  <c r="H212" i="1"/>
  <c r="I212" i="1" s="1"/>
  <c r="H213" i="1"/>
  <c r="I213" i="1" s="1"/>
  <c r="H216" i="1"/>
  <c r="H218" i="1"/>
  <c r="I218" i="1" s="1"/>
  <c r="H220" i="1"/>
</calcChain>
</file>

<file path=xl/sharedStrings.xml><?xml version="1.0" encoding="utf-8"?>
<sst xmlns="http://schemas.openxmlformats.org/spreadsheetml/2006/main" count="2339" uniqueCount="68">
  <si>
    <t>behaviour</t>
  </si>
  <si>
    <t>focal</t>
  </si>
  <si>
    <t>partner</t>
  </si>
  <si>
    <t>start_time</t>
  </si>
  <si>
    <t>end_time</t>
  </si>
  <si>
    <t>partner_avoid? (Y/N)</t>
  </si>
  <si>
    <t>avoid_success? (Y/N)</t>
  </si>
  <si>
    <t>male_abort? (Y/N)</t>
  </si>
  <si>
    <t>Notes</t>
  </si>
  <si>
    <t>.1</t>
  </si>
  <si>
    <t>2.</t>
  </si>
  <si>
    <t>trial start</t>
  </si>
  <si>
    <t>mount</t>
  </si>
  <si>
    <t>.8</t>
  </si>
  <si>
    <t>3.</t>
  </si>
  <si>
    <t>n</t>
  </si>
  <si>
    <t>:6</t>
  </si>
  <si>
    <t>:0</t>
  </si>
  <si>
    <t>6.</t>
  </si>
  <si>
    <t>.5</t>
  </si>
  <si>
    <t>0.</t>
  </si>
  <si>
    <t>insemination</t>
  </si>
  <si>
    <t>.9</t>
  </si>
  <si>
    <t>.6</t>
  </si>
  <si>
    <t>.7</t>
  </si>
  <si>
    <t>.2</t>
  </si>
  <si>
    <t>7.</t>
  </si>
  <si>
    <t>.3</t>
  </si>
  <si>
    <t>5.</t>
  </si>
  <si>
    <t>other</t>
  </si>
  <si>
    <t>y</t>
  </si>
  <si>
    <t>NA</t>
  </si>
  <si>
    <t>:1</t>
  </si>
  <si>
    <t>9.</t>
  </si>
  <si>
    <t>male position was weir</t>
  </si>
  <si>
    <t>during it .9 and :1 mounted the male</t>
  </si>
  <si>
    <t>during insem</t>
  </si>
  <si>
    <t>short insemination</t>
  </si>
  <si>
    <t>4.</t>
  </si>
  <si>
    <t>1.</t>
  </si>
  <si>
    <t>weird delayed resistance</t>
  </si>
  <si>
    <t>long and weird avoidance</t>
  </si>
  <si>
    <t>.0</t>
  </si>
  <si>
    <t>.2 seems lousy, bad at mounting</t>
  </si>
  <si>
    <t xml:space="preserve"> mounted him during insem</t>
  </si>
  <si>
    <t>.</t>
  </si>
  <si>
    <t>unknown female</t>
  </si>
  <si>
    <t>0:</t>
  </si>
  <si>
    <t>mounted while :1 was inseminating</t>
  </si>
  <si>
    <t>8.</t>
  </si>
  <si>
    <t>while he is inseminating 0:</t>
  </si>
  <si>
    <t>NOT WEIRD</t>
  </si>
  <si>
    <t>NOT WEIRD - all other 2. are weird</t>
  </si>
  <si>
    <t>weird .2</t>
  </si>
  <si>
    <t>weird</t>
  </si>
  <si>
    <t>0;</t>
  </si>
  <si>
    <t>,9</t>
  </si>
  <si>
    <t>,.6</t>
  </si>
  <si>
    <t>1:</t>
  </si>
  <si>
    <t>1;</t>
  </si>
  <si>
    <t>refusal stance</t>
  </si>
  <si>
    <t>tried hard and couldn’t</t>
  </si>
  <si>
    <t>day</t>
  </si>
  <si>
    <t>was small and in a large aggregation</t>
  </si>
  <si>
    <t>3,</t>
  </si>
  <si>
    <t>6,</t>
  </si>
  <si>
    <t>6:</t>
  </si>
  <si>
    <t>refusal stance later 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</si>
</sst>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5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49" fontId="1" fillId="3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9" fontId="0" fillId="5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49" fontId="0" fillId="3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164" fontId="1" fillId="5" borderId="1" xfId="0" applyNumberFormat="1" applyFont="1" applyFill="1" applyBorder="1" applyAlignment="1">
      <alignment horizontal="center"/>
    </xf>
    <xf numFmtId="164" fontId="0" fillId="5" borderId="1" xfId="0" applyNumberFormat="1" applyFill="1" applyBorder="1" applyAlignment="1">
      <alignment horizontal="center"/>
    </xf>
    <xf numFmtId="18" fontId="0" fillId="5" borderId="1" xfId="0" applyNumberFormat="1" applyFill="1" applyBorder="1" applyAlignment="1">
      <alignment horizontal="center"/>
    </xf>
    <xf numFmtId="19" fontId="1" fillId="5" borderId="1" xfId="0" applyNumberFormat="1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left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1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E5EEE-5239-4BB0-AEE7-92F2B26A2E13}">
  <sheetPr codeName="Sheet1"/>
  <dimension ref="A1:N1048573"/>
  <sheetViews>
    <sheetView tabSelected="1" zoomScaleNormal="100" workbookViewId="0">
      <pane ySplit="1" topLeftCell="A50" activePane="bottomLeft" state="frozen"/>
      <selection pane="bottomLeft" activeCell="I56" sqref="I56"/>
    </sheetView>
  </sheetViews>
  <sheetFormatPr defaultRowHeight="15" x14ac:dyDescent="0.25"/>
  <cols>
    <col min="1" max="1" width="10.42578125" bestFit="1" customWidth="1"/>
    <col min="2" max="2" width="13.42578125" style="11" customWidth="1"/>
    <col min="3" max="3" width="13" style="9" customWidth="1"/>
    <col min="4" max="4" width="12.42578125" style="6" customWidth="1"/>
    <col min="5" max="5" width="9" style="7" customWidth="1"/>
    <col min="6" max="6" width="11.5703125" style="7" bestFit="1" customWidth="1"/>
    <col min="7" max="7" width="18.42578125" style="8" customWidth="1"/>
    <col min="8" max="8" width="19" style="8" customWidth="1"/>
    <col min="9" max="9" width="18" style="8" customWidth="1"/>
    <col min="10" max="10" width="54" customWidth="1"/>
    <col min="11" max="11" width="21" customWidth="1"/>
    <col min="12" max="12" width="20.42578125" customWidth="1"/>
    <col min="13" max="13" width="15.7109375" customWidth="1"/>
  </cols>
  <sheetData>
    <row r="1" spans="1:14" x14ac:dyDescent="0.25">
      <c r="A1" t="s">
        <v>62</v>
      </c>
      <c r="B1" s="10" t="s">
        <v>3</v>
      </c>
      <c r="C1" s="1" t="s">
        <v>4</v>
      </c>
      <c r="D1" s="2" t="s">
        <v>0</v>
      </c>
      <c r="E1" s="3" t="s">
        <v>1</v>
      </c>
      <c r="F1" s="3" t="s">
        <v>2</v>
      </c>
      <c r="G1" s="4" t="s">
        <v>5</v>
      </c>
      <c r="H1" s="4" t="s">
        <v>6</v>
      </c>
      <c r="I1" s="4" t="s">
        <v>7</v>
      </c>
      <c r="J1" s="19" t="s">
        <v>8</v>
      </c>
    </row>
    <row r="2" spans="1:14" x14ac:dyDescent="0.25">
      <c r="A2">
        <v>1</v>
      </c>
      <c r="B2" s="13">
        <v>0.33310185185185187</v>
      </c>
      <c r="C2" s="13"/>
      <c r="D2" s="2" t="s">
        <v>11</v>
      </c>
      <c r="H2" s="8" t="str">
        <f>IF(G2 = "n", "NA", "")</f>
        <v/>
      </c>
      <c r="I2" s="8" t="str">
        <f>IF(H2 = "y", "NA", "")</f>
        <v/>
      </c>
    </row>
    <row r="3" spans="1:14" x14ac:dyDescent="0.25">
      <c r="A3">
        <v>1</v>
      </c>
      <c r="B3" s="5">
        <v>0.33341435185185181</v>
      </c>
      <c r="C3" s="5">
        <v>0.33523148148148146</v>
      </c>
      <c r="D3" s="2" t="s">
        <v>21</v>
      </c>
      <c r="E3" s="7" t="s">
        <v>13</v>
      </c>
      <c r="F3" s="7" t="s">
        <v>14</v>
      </c>
      <c r="G3" s="8" t="s">
        <v>15</v>
      </c>
      <c r="H3" s="8" t="str">
        <f t="shared" ref="H3:I61" si="0">IF(G3 = "n", "NA", "")</f>
        <v>NA</v>
      </c>
      <c r="I3" s="8" t="s">
        <v>15</v>
      </c>
    </row>
    <row r="4" spans="1:14" x14ac:dyDescent="0.25">
      <c r="A4">
        <v>1</v>
      </c>
      <c r="B4" s="5">
        <v>0.33359953703703704</v>
      </c>
      <c r="D4" s="2" t="s">
        <v>12</v>
      </c>
      <c r="E4" s="7" t="s">
        <v>16</v>
      </c>
      <c r="F4" s="7" t="s">
        <v>9</v>
      </c>
      <c r="H4" s="8" t="str">
        <f t="shared" si="0"/>
        <v/>
      </c>
      <c r="I4" s="8" t="str">
        <f>IF(H4 = "7", "NA", "")</f>
        <v/>
      </c>
    </row>
    <row r="5" spans="1:14" x14ac:dyDescent="0.25">
      <c r="A5">
        <v>1</v>
      </c>
      <c r="B5" s="5">
        <v>0.33361111111111108</v>
      </c>
      <c r="D5" s="2" t="s">
        <v>12</v>
      </c>
      <c r="E5" s="7" t="s">
        <v>16</v>
      </c>
      <c r="F5" s="7" t="s">
        <v>9</v>
      </c>
      <c r="H5" s="8" t="str">
        <f t="shared" si="0"/>
        <v/>
      </c>
      <c r="I5" s="8" t="str">
        <f>IF(H5 = "7", "NA", "")</f>
        <v/>
      </c>
    </row>
    <row r="6" spans="1:14" x14ac:dyDescent="0.25">
      <c r="A6">
        <v>1</v>
      </c>
      <c r="B6" s="5">
        <v>0.33333333333333331</v>
      </c>
      <c r="C6" s="5"/>
      <c r="D6" s="2" t="s">
        <v>21</v>
      </c>
      <c r="E6" s="7" t="s">
        <v>17</v>
      </c>
      <c r="F6" s="7" t="s">
        <v>18</v>
      </c>
      <c r="G6" s="8" t="s">
        <v>15</v>
      </c>
      <c r="H6" s="8" t="str">
        <f t="shared" si="0"/>
        <v>NA</v>
      </c>
      <c r="I6" s="8" t="s">
        <v>15</v>
      </c>
    </row>
    <row r="7" spans="1:14" x14ac:dyDescent="0.25">
      <c r="A7">
        <v>1</v>
      </c>
      <c r="B7" s="5">
        <v>0.33333333333333331</v>
      </c>
      <c r="C7" s="5">
        <v>0.33530092592592592</v>
      </c>
      <c r="D7" s="2" t="s">
        <v>21</v>
      </c>
      <c r="E7" s="7" t="s">
        <v>19</v>
      </c>
      <c r="F7" s="7" t="s">
        <v>20</v>
      </c>
      <c r="G7" s="8" t="s">
        <v>15</v>
      </c>
      <c r="H7" s="8" t="str">
        <f t="shared" si="0"/>
        <v>NA</v>
      </c>
      <c r="I7" s="8" t="s">
        <v>15</v>
      </c>
    </row>
    <row r="8" spans="1:14" x14ac:dyDescent="0.25">
      <c r="A8">
        <v>1</v>
      </c>
      <c r="B8" s="5">
        <v>0.33417824074074076</v>
      </c>
      <c r="C8" s="12"/>
      <c r="D8" s="2" t="s">
        <v>12</v>
      </c>
      <c r="E8" s="7" t="s">
        <v>22</v>
      </c>
      <c r="F8" s="7" t="s">
        <v>23</v>
      </c>
      <c r="H8" s="8" t="str">
        <f t="shared" si="0"/>
        <v/>
      </c>
      <c r="I8" s="8" t="str">
        <f>IF(H8 = "y", "NA", "")</f>
        <v/>
      </c>
    </row>
    <row r="9" spans="1:14" x14ac:dyDescent="0.25">
      <c r="A9">
        <v>1</v>
      </c>
      <c r="B9" s="5">
        <v>0.33416666666666667</v>
      </c>
      <c r="D9" s="2" t="s">
        <v>12</v>
      </c>
      <c r="E9" s="7" t="s">
        <v>22</v>
      </c>
      <c r="F9" s="7" t="s">
        <v>23</v>
      </c>
      <c r="H9" s="8" t="str">
        <f t="shared" si="0"/>
        <v/>
      </c>
      <c r="I9" s="8" t="str">
        <f t="shared" ref="I9:I10" si="1">IF(H9 = "y", "NA", "")</f>
        <v/>
      </c>
      <c r="L9" s="18"/>
      <c r="M9" s="16"/>
      <c r="N9" s="16"/>
    </row>
    <row r="10" spans="1:14" x14ac:dyDescent="0.25">
      <c r="A10">
        <v>1</v>
      </c>
      <c r="B10" s="5">
        <v>0.3341898148148148</v>
      </c>
      <c r="C10" s="5"/>
      <c r="D10" s="2" t="s">
        <v>12</v>
      </c>
      <c r="E10" s="7" t="s">
        <v>24</v>
      </c>
      <c r="F10" s="7" t="s">
        <v>23</v>
      </c>
      <c r="H10" s="8" t="str">
        <f t="shared" si="0"/>
        <v/>
      </c>
      <c r="I10" s="8" t="str">
        <f t="shared" si="1"/>
        <v/>
      </c>
      <c r="L10" s="15"/>
    </row>
    <row r="11" spans="1:14" x14ac:dyDescent="0.25">
      <c r="A11">
        <v>1</v>
      </c>
      <c r="B11" s="5">
        <v>0.33402777777777781</v>
      </c>
      <c r="D11" s="2" t="s">
        <v>21</v>
      </c>
      <c r="E11" s="7" t="s">
        <v>25</v>
      </c>
      <c r="F11" s="7" t="s">
        <v>26</v>
      </c>
      <c r="G11" s="8" t="s">
        <v>15</v>
      </c>
      <c r="H11" s="8" t="str">
        <f t="shared" si="0"/>
        <v>NA</v>
      </c>
      <c r="I11" s="8" t="s">
        <v>15</v>
      </c>
      <c r="L11" s="15"/>
    </row>
    <row r="12" spans="1:14" x14ac:dyDescent="0.25">
      <c r="A12">
        <v>1</v>
      </c>
      <c r="B12" s="5">
        <v>0.33449074074074076</v>
      </c>
      <c r="C12" s="5"/>
      <c r="D12" s="2" t="s">
        <v>21</v>
      </c>
      <c r="E12" s="7" t="s">
        <v>27</v>
      </c>
      <c r="F12" s="7" t="s">
        <v>28</v>
      </c>
      <c r="G12" s="8" t="s">
        <v>15</v>
      </c>
      <c r="H12" s="8" t="str">
        <f t="shared" si="0"/>
        <v>NA</v>
      </c>
      <c r="I12" s="8" t="s">
        <v>15</v>
      </c>
      <c r="J12" s="20"/>
      <c r="L12" s="15"/>
    </row>
    <row r="13" spans="1:14" x14ac:dyDescent="0.25">
      <c r="A13">
        <v>1</v>
      </c>
      <c r="B13" s="5">
        <v>0.33545138888888887</v>
      </c>
      <c r="C13" s="5">
        <v>0.3369328703703704</v>
      </c>
      <c r="D13" s="2" t="s">
        <v>21</v>
      </c>
      <c r="E13" s="7" t="s">
        <v>16</v>
      </c>
      <c r="F13" s="7" t="s">
        <v>10</v>
      </c>
      <c r="G13" s="8" t="s">
        <v>15</v>
      </c>
      <c r="H13" s="8" t="str">
        <f t="shared" si="0"/>
        <v>NA</v>
      </c>
      <c r="I13" s="8" t="s">
        <v>15</v>
      </c>
      <c r="L13" s="15"/>
    </row>
    <row r="14" spans="1:14" x14ac:dyDescent="0.25">
      <c r="A14">
        <v>1</v>
      </c>
      <c r="B14" s="5">
        <v>0.3356365740740741</v>
      </c>
      <c r="C14" s="5">
        <v>0.3361689814814815</v>
      </c>
      <c r="D14" s="2" t="s">
        <v>21</v>
      </c>
      <c r="E14" s="7" t="s">
        <v>22</v>
      </c>
      <c r="F14" s="7" t="s">
        <v>28</v>
      </c>
      <c r="G14" s="8" t="s">
        <v>15</v>
      </c>
      <c r="H14" s="8" t="str">
        <f t="shared" si="0"/>
        <v>NA</v>
      </c>
      <c r="I14" s="8" t="s">
        <v>15</v>
      </c>
      <c r="L14" s="15"/>
    </row>
    <row r="15" spans="1:14" x14ac:dyDescent="0.25">
      <c r="A15">
        <v>1</v>
      </c>
      <c r="B15" s="5">
        <v>0.33631944444444445</v>
      </c>
      <c r="D15" s="2" t="s">
        <v>29</v>
      </c>
      <c r="E15" s="7" t="s">
        <v>17</v>
      </c>
      <c r="H15" s="8" t="str">
        <f t="shared" si="0"/>
        <v/>
      </c>
      <c r="I15" s="8" t="str">
        <f>IF(H15 = "y", "NA", "")</f>
        <v/>
      </c>
      <c r="J15" s="14"/>
      <c r="L15" s="15"/>
    </row>
    <row r="16" spans="1:14" x14ac:dyDescent="0.25">
      <c r="A16">
        <v>1</v>
      </c>
      <c r="B16" s="5">
        <v>0.33670138888888884</v>
      </c>
      <c r="D16" s="2" t="s">
        <v>12</v>
      </c>
      <c r="E16" s="7" t="s">
        <v>23</v>
      </c>
      <c r="F16" s="7" t="s">
        <v>19</v>
      </c>
      <c r="H16" s="8" t="str">
        <f t="shared" si="0"/>
        <v/>
      </c>
      <c r="I16" s="8" t="str">
        <f t="shared" ref="I16:I17" si="2">IF(H16 = "y", "NA", "")</f>
        <v/>
      </c>
      <c r="L16" s="17"/>
    </row>
    <row r="17" spans="1:12" x14ac:dyDescent="0.25">
      <c r="A17">
        <v>1</v>
      </c>
      <c r="B17" s="5">
        <v>0.3366898148148148</v>
      </c>
      <c r="D17" s="2" t="s">
        <v>12</v>
      </c>
      <c r="E17" s="7" t="s">
        <v>19</v>
      </c>
      <c r="F17" s="7" t="s">
        <v>23</v>
      </c>
      <c r="H17" s="8" t="str">
        <f t="shared" si="0"/>
        <v/>
      </c>
      <c r="I17" s="8" t="str">
        <f t="shared" si="2"/>
        <v/>
      </c>
      <c r="L17" s="17"/>
    </row>
    <row r="18" spans="1:12" x14ac:dyDescent="0.25">
      <c r="A18">
        <v>1</v>
      </c>
      <c r="B18" s="5">
        <v>0.33722222222222226</v>
      </c>
      <c r="C18" s="5"/>
      <c r="D18" s="2" t="s">
        <v>21</v>
      </c>
      <c r="E18" s="7" t="s">
        <v>17</v>
      </c>
      <c r="F18" s="7" t="s">
        <v>26</v>
      </c>
      <c r="G18" s="8" t="s">
        <v>30</v>
      </c>
      <c r="H18" s="8" t="s">
        <v>15</v>
      </c>
      <c r="I18" s="8" t="s">
        <v>15</v>
      </c>
    </row>
    <row r="19" spans="1:12" x14ac:dyDescent="0.25">
      <c r="A19">
        <v>1</v>
      </c>
      <c r="B19" s="5">
        <v>0.33747685185185183</v>
      </c>
      <c r="D19" s="2" t="s">
        <v>21</v>
      </c>
      <c r="E19" s="7" t="s">
        <v>9</v>
      </c>
      <c r="F19" s="7" t="s">
        <v>33</v>
      </c>
      <c r="H19" s="8" t="str">
        <f t="shared" si="0"/>
        <v/>
      </c>
      <c r="I19" s="8" t="str">
        <f>IF(H19 = "y", "NA", "")</f>
        <v/>
      </c>
    </row>
    <row r="20" spans="1:12" x14ac:dyDescent="0.25">
      <c r="A20">
        <v>1</v>
      </c>
      <c r="B20" s="5">
        <v>0.33780092592592598</v>
      </c>
      <c r="C20" s="5"/>
      <c r="D20" s="2" t="s">
        <v>12</v>
      </c>
      <c r="E20" s="7" t="s">
        <v>22</v>
      </c>
      <c r="F20" s="7" t="s">
        <v>27</v>
      </c>
      <c r="H20" s="8" t="str">
        <f t="shared" si="0"/>
        <v/>
      </c>
      <c r="I20" s="8" t="str">
        <f t="shared" ref="I20:I24" si="3">IF(H20 = "y", "NA", "")</f>
        <v/>
      </c>
    </row>
    <row r="21" spans="1:12" x14ac:dyDescent="0.25">
      <c r="A21">
        <v>1</v>
      </c>
      <c r="B21" s="5">
        <v>0.33792824074074074</v>
      </c>
      <c r="D21" s="2" t="s">
        <v>12</v>
      </c>
      <c r="E21" s="7" t="s">
        <v>25</v>
      </c>
      <c r="F21" s="7" t="s">
        <v>22</v>
      </c>
      <c r="H21" s="8" t="str">
        <f t="shared" si="0"/>
        <v/>
      </c>
      <c r="I21" s="8" t="str">
        <f t="shared" si="3"/>
        <v/>
      </c>
    </row>
    <row r="22" spans="1:12" x14ac:dyDescent="0.25">
      <c r="A22">
        <v>1</v>
      </c>
      <c r="B22" s="5">
        <v>0.33792824074074074</v>
      </c>
      <c r="D22" s="2" t="s">
        <v>12</v>
      </c>
      <c r="E22" s="7" t="s">
        <v>25</v>
      </c>
      <c r="F22" s="7" t="s">
        <v>22</v>
      </c>
      <c r="H22" s="8" t="str">
        <f t="shared" si="0"/>
        <v/>
      </c>
      <c r="I22" s="8" t="str">
        <f t="shared" si="3"/>
        <v/>
      </c>
    </row>
    <row r="23" spans="1:12" x14ac:dyDescent="0.25">
      <c r="A23">
        <v>1</v>
      </c>
      <c r="B23" s="5">
        <v>0.33815972222222218</v>
      </c>
      <c r="C23" s="5"/>
      <c r="D23" s="2" t="s">
        <v>12</v>
      </c>
      <c r="E23" s="7" t="s">
        <v>24</v>
      </c>
      <c r="F23" s="7" t="s">
        <v>17</v>
      </c>
      <c r="H23" s="8" t="str">
        <f t="shared" si="0"/>
        <v/>
      </c>
      <c r="I23" s="8" t="str">
        <f t="shared" si="3"/>
        <v/>
      </c>
      <c r="J23" s="14"/>
    </row>
    <row r="24" spans="1:12" x14ac:dyDescent="0.25">
      <c r="A24">
        <v>1</v>
      </c>
      <c r="B24" s="5">
        <v>0.3382175925925926</v>
      </c>
      <c r="C24" s="5"/>
      <c r="D24" s="2" t="s">
        <v>12</v>
      </c>
      <c r="E24" s="7" t="s">
        <v>23</v>
      </c>
      <c r="F24" s="7" t="s">
        <v>27</v>
      </c>
      <c r="H24" s="8" t="str">
        <f t="shared" si="0"/>
        <v/>
      </c>
      <c r="I24" s="8" t="str">
        <f t="shared" si="3"/>
        <v/>
      </c>
    </row>
    <row r="25" spans="1:12" x14ac:dyDescent="0.25">
      <c r="A25">
        <v>1</v>
      </c>
      <c r="B25" s="5">
        <v>0.33848379629629632</v>
      </c>
      <c r="D25" s="2" t="s">
        <v>12</v>
      </c>
      <c r="E25" s="7" t="s">
        <v>32</v>
      </c>
      <c r="F25" s="7" t="s">
        <v>20</v>
      </c>
      <c r="G25" s="8" t="s">
        <v>15</v>
      </c>
      <c r="H25" s="8" t="str">
        <f t="shared" si="0"/>
        <v>NA</v>
      </c>
      <c r="I25" s="8" t="s">
        <v>30</v>
      </c>
    </row>
    <row r="26" spans="1:12" x14ac:dyDescent="0.25">
      <c r="A26">
        <v>1</v>
      </c>
      <c r="B26" s="5">
        <v>0.33884259259259258</v>
      </c>
      <c r="C26" s="5"/>
      <c r="D26" s="2" t="s">
        <v>12</v>
      </c>
      <c r="E26" s="7" t="s">
        <v>23</v>
      </c>
      <c r="F26" s="7" t="s">
        <v>16</v>
      </c>
      <c r="H26" s="8" t="str">
        <f t="shared" si="0"/>
        <v/>
      </c>
      <c r="I26" s="8" t="str">
        <f>IF(H26 = "y", "NA", "")</f>
        <v/>
      </c>
    </row>
    <row r="27" spans="1:12" x14ac:dyDescent="0.25">
      <c r="A27">
        <v>1</v>
      </c>
      <c r="B27" s="5">
        <v>0.33915509259259258</v>
      </c>
      <c r="D27" s="2" t="s">
        <v>12</v>
      </c>
      <c r="E27" s="7" t="s">
        <v>25</v>
      </c>
      <c r="F27" s="7" t="s">
        <v>33</v>
      </c>
      <c r="G27" s="8" t="s">
        <v>30</v>
      </c>
      <c r="H27" s="8" t="s">
        <v>30</v>
      </c>
      <c r="I27" s="8" t="s">
        <v>31</v>
      </c>
    </row>
    <row r="28" spans="1:12" x14ac:dyDescent="0.25">
      <c r="A28">
        <v>1</v>
      </c>
      <c r="B28" s="5">
        <v>0.33940972222222227</v>
      </c>
      <c r="D28" s="2" t="s">
        <v>21</v>
      </c>
      <c r="E28" s="7" t="s">
        <v>22</v>
      </c>
      <c r="F28" s="7" t="s">
        <v>26</v>
      </c>
      <c r="G28" s="8" t="s">
        <v>15</v>
      </c>
      <c r="H28" s="8" t="str">
        <f t="shared" si="0"/>
        <v>NA</v>
      </c>
      <c r="I28" s="8" t="s">
        <v>15</v>
      </c>
      <c r="J28" s="14"/>
    </row>
    <row r="29" spans="1:12" x14ac:dyDescent="0.25">
      <c r="A29">
        <v>1</v>
      </c>
      <c r="B29" s="13">
        <v>0.3395023148148148</v>
      </c>
      <c r="C29" s="1"/>
      <c r="D29" s="2" t="s">
        <v>21</v>
      </c>
      <c r="E29" s="7" t="s">
        <v>25</v>
      </c>
      <c r="F29" s="7" t="s">
        <v>18</v>
      </c>
      <c r="G29" s="8" t="s">
        <v>15</v>
      </c>
      <c r="H29" s="8" t="str">
        <f t="shared" si="0"/>
        <v>NA</v>
      </c>
      <c r="I29" s="8" t="s">
        <v>15</v>
      </c>
      <c r="J29" s="20"/>
    </row>
    <row r="30" spans="1:12" x14ac:dyDescent="0.25">
      <c r="A30">
        <v>1</v>
      </c>
      <c r="B30" s="5">
        <v>0.34060185185185188</v>
      </c>
      <c r="D30" s="2" t="s">
        <v>12</v>
      </c>
      <c r="E30" s="7" t="s">
        <v>9</v>
      </c>
      <c r="F30" s="7" t="s">
        <v>20</v>
      </c>
      <c r="G30" s="8" t="s">
        <v>30</v>
      </c>
      <c r="H30" s="8" t="s">
        <v>30</v>
      </c>
      <c r="I30" s="8" t="s">
        <v>31</v>
      </c>
    </row>
    <row r="31" spans="1:12" x14ac:dyDescent="0.25">
      <c r="A31">
        <v>1</v>
      </c>
      <c r="B31" s="5">
        <v>0.3406481481481482</v>
      </c>
      <c r="D31" s="2" t="s">
        <v>12</v>
      </c>
      <c r="E31" s="7" t="s">
        <v>32</v>
      </c>
      <c r="F31" s="7" t="s">
        <v>20</v>
      </c>
      <c r="G31" s="8" t="s">
        <v>30</v>
      </c>
      <c r="H31" s="8" t="s">
        <v>30</v>
      </c>
      <c r="I31" s="8" t="s">
        <v>31</v>
      </c>
    </row>
    <row r="32" spans="1:12" x14ac:dyDescent="0.25">
      <c r="A32">
        <v>1</v>
      </c>
      <c r="B32" s="5">
        <v>0.34076388888888887</v>
      </c>
      <c r="D32" s="2" t="s">
        <v>12</v>
      </c>
      <c r="E32" s="7" t="s">
        <v>13</v>
      </c>
      <c r="F32" s="7" t="s">
        <v>19</v>
      </c>
      <c r="H32" s="8" t="str">
        <f t="shared" si="0"/>
        <v/>
      </c>
      <c r="I32" s="8" t="str">
        <f>IF(H32 = "y", "NA", "")</f>
        <v/>
      </c>
    </row>
    <row r="33" spans="1:10" x14ac:dyDescent="0.25">
      <c r="A33">
        <v>1</v>
      </c>
      <c r="B33" s="5">
        <v>0.34101851851851855</v>
      </c>
      <c r="D33" s="2" t="s">
        <v>12</v>
      </c>
      <c r="E33" s="7" t="s">
        <v>22</v>
      </c>
      <c r="F33" s="7" t="s">
        <v>18</v>
      </c>
      <c r="G33" s="8" t="s">
        <v>30</v>
      </c>
      <c r="H33" s="8" t="s">
        <v>30</v>
      </c>
      <c r="I33" s="8" t="s">
        <v>31</v>
      </c>
    </row>
    <row r="34" spans="1:10" x14ac:dyDescent="0.25">
      <c r="A34">
        <v>1</v>
      </c>
      <c r="B34" s="5">
        <v>0.34128472222222223</v>
      </c>
      <c r="D34" s="2" t="s">
        <v>12</v>
      </c>
      <c r="E34" s="7" t="s">
        <v>22</v>
      </c>
      <c r="F34" s="7" t="s">
        <v>26</v>
      </c>
      <c r="G34" s="8" t="s">
        <v>15</v>
      </c>
      <c r="H34" s="8" t="str">
        <f t="shared" si="0"/>
        <v>NA</v>
      </c>
      <c r="I34" s="8" t="s">
        <v>30</v>
      </c>
    </row>
    <row r="35" spans="1:10" x14ac:dyDescent="0.25">
      <c r="A35">
        <v>1</v>
      </c>
      <c r="B35" s="5">
        <v>0.34166666666666662</v>
      </c>
      <c r="D35" s="2" t="s">
        <v>12</v>
      </c>
      <c r="E35" s="7" t="s">
        <v>9</v>
      </c>
      <c r="F35" s="7" t="s">
        <v>20</v>
      </c>
      <c r="G35" s="8" t="s">
        <v>15</v>
      </c>
      <c r="H35" s="8" t="str">
        <f t="shared" si="0"/>
        <v>NA</v>
      </c>
      <c r="I35" s="8" t="s">
        <v>30</v>
      </c>
    </row>
    <row r="36" spans="1:10" x14ac:dyDescent="0.25">
      <c r="A36">
        <v>1</v>
      </c>
      <c r="B36" s="5">
        <v>0.34180555555555553</v>
      </c>
      <c r="D36" s="2" t="s">
        <v>12</v>
      </c>
      <c r="E36" s="7" t="s">
        <v>25</v>
      </c>
      <c r="F36" s="7" t="s">
        <v>20</v>
      </c>
      <c r="G36" s="8" t="s">
        <v>30</v>
      </c>
      <c r="H36" s="8" t="s">
        <v>30</v>
      </c>
      <c r="I36" s="8" t="s">
        <v>31</v>
      </c>
    </row>
    <row r="37" spans="1:10" x14ac:dyDescent="0.25">
      <c r="A37">
        <v>1</v>
      </c>
      <c r="B37" s="5">
        <v>0.34192129629629631</v>
      </c>
      <c r="D37" s="2" t="s">
        <v>12</v>
      </c>
      <c r="E37" s="7" t="s">
        <v>22</v>
      </c>
      <c r="F37" s="7" t="s">
        <v>20</v>
      </c>
      <c r="G37" s="8" t="s">
        <v>15</v>
      </c>
      <c r="H37" s="8" t="str">
        <f t="shared" si="0"/>
        <v>NA</v>
      </c>
      <c r="I37" s="8" t="s">
        <v>30</v>
      </c>
    </row>
    <row r="38" spans="1:10" x14ac:dyDescent="0.25">
      <c r="A38">
        <v>1</v>
      </c>
      <c r="B38" s="5">
        <v>0.34209490740740739</v>
      </c>
      <c r="D38" s="2" t="s">
        <v>21</v>
      </c>
      <c r="E38" s="7" t="s">
        <v>16</v>
      </c>
      <c r="F38" s="7" t="s">
        <v>18</v>
      </c>
      <c r="G38" s="8" t="s">
        <v>15</v>
      </c>
      <c r="H38" s="8" t="str">
        <f t="shared" si="0"/>
        <v>NA</v>
      </c>
      <c r="I38" s="8" t="s">
        <v>15</v>
      </c>
      <c r="J38" s="20" t="s">
        <v>34</v>
      </c>
    </row>
    <row r="39" spans="1:10" x14ac:dyDescent="0.25">
      <c r="A39">
        <v>1</v>
      </c>
      <c r="B39" s="5">
        <v>0.34246527777777774</v>
      </c>
      <c r="D39" s="2" t="s">
        <v>12</v>
      </c>
      <c r="E39" s="7" t="s">
        <v>25</v>
      </c>
      <c r="F39" s="7" t="s">
        <v>9</v>
      </c>
      <c r="H39" s="8" t="str">
        <f t="shared" si="0"/>
        <v/>
      </c>
      <c r="I39" s="8" t="str">
        <f>IF(H39 = "y", "NA", "")</f>
        <v/>
      </c>
    </row>
    <row r="40" spans="1:10" x14ac:dyDescent="0.25">
      <c r="A40">
        <v>1</v>
      </c>
      <c r="B40" s="5">
        <v>0.34282407407407406</v>
      </c>
      <c r="D40" s="2" t="s">
        <v>12</v>
      </c>
      <c r="E40" s="7" t="s">
        <v>22</v>
      </c>
      <c r="F40" s="7" t="s">
        <v>9</v>
      </c>
      <c r="H40" s="8" t="str">
        <f t="shared" si="0"/>
        <v/>
      </c>
      <c r="I40" s="8" t="str">
        <f>IF(H40 = "y", "NA", "")</f>
        <v/>
      </c>
    </row>
    <row r="41" spans="1:10" x14ac:dyDescent="0.25">
      <c r="A41">
        <v>1</v>
      </c>
      <c r="B41" s="5">
        <v>0.34303240740740742</v>
      </c>
      <c r="D41" s="2" t="s">
        <v>12</v>
      </c>
      <c r="E41" s="7" t="s">
        <v>25</v>
      </c>
      <c r="F41" s="7" t="s">
        <v>33</v>
      </c>
      <c r="G41" s="8" t="s">
        <v>30</v>
      </c>
      <c r="H41" s="8" t="s">
        <v>30</v>
      </c>
      <c r="I41" s="8" t="s">
        <v>31</v>
      </c>
    </row>
    <row r="42" spans="1:10" x14ac:dyDescent="0.25">
      <c r="A42">
        <v>1</v>
      </c>
      <c r="B42" s="5">
        <v>0.34370370370370368</v>
      </c>
      <c r="D42" s="2" t="s">
        <v>21</v>
      </c>
      <c r="E42" s="7" t="s">
        <v>22</v>
      </c>
      <c r="F42" s="7" t="s">
        <v>20</v>
      </c>
      <c r="G42" s="8" t="s">
        <v>15</v>
      </c>
      <c r="H42" s="8" t="str">
        <f t="shared" si="0"/>
        <v>NA</v>
      </c>
      <c r="I42" s="8" t="s">
        <v>15</v>
      </c>
    </row>
    <row r="43" spans="1:10" x14ac:dyDescent="0.25">
      <c r="A43">
        <v>1</v>
      </c>
      <c r="B43" s="5">
        <v>0.34380787037037036</v>
      </c>
      <c r="D43" s="2" t="s">
        <v>12</v>
      </c>
      <c r="E43" s="7" t="s">
        <v>27</v>
      </c>
      <c r="F43" s="7" t="s">
        <v>18</v>
      </c>
      <c r="G43" s="8" t="s">
        <v>15</v>
      </c>
      <c r="H43" s="8" t="str">
        <f t="shared" si="0"/>
        <v>NA</v>
      </c>
      <c r="I43" s="8" t="s">
        <v>30</v>
      </c>
    </row>
    <row r="44" spans="1:10" x14ac:dyDescent="0.25">
      <c r="A44">
        <v>1</v>
      </c>
      <c r="B44" s="5">
        <v>0.34415509259259264</v>
      </c>
      <c r="C44" s="5">
        <v>0.3457986111111111</v>
      </c>
      <c r="D44" s="2" t="s">
        <v>21</v>
      </c>
      <c r="E44" s="7" t="s">
        <v>25</v>
      </c>
      <c r="F44" s="7" t="s">
        <v>33</v>
      </c>
      <c r="G44" s="8" t="s">
        <v>15</v>
      </c>
      <c r="H44" s="8" t="str">
        <f t="shared" si="0"/>
        <v>NA</v>
      </c>
      <c r="I44" s="8" t="s">
        <v>15</v>
      </c>
    </row>
    <row r="45" spans="1:10" x14ac:dyDescent="0.25">
      <c r="A45">
        <v>1</v>
      </c>
      <c r="B45" s="5">
        <v>0.34432870370370372</v>
      </c>
      <c r="D45" s="2" t="s">
        <v>12</v>
      </c>
      <c r="E45" s="7" t="s">
        <v>16</v>
      </c>
      <c r="F45" s="7" t="s">
        <v>18</v>
      </c>
      <c r="G45" s="8" t="s">
        <v>15</v>
      </c>
      <c r="H45" s="8" t="str">
        <f t="shared" si="0"/>
        <v>NA</v>
      </c>
      <c r="I45" s="8" t="s">
        <v>30</v>
      </c>
    </row>
    <row r="46" spans="1:10" x14ac:dyDescent="0.25">
      <c r="A46">
        <v>1</v>
      </c>
      <c r="B46" s="5">
        <v>0.34454861111111112</v>
      </c>
      <c r="D46" s="2" t="s">
        <v>12</v>
      </c>
      <c r="E46" s="7" t="s">
        <v>23</v>
      </c>
      <c r="F46" s="7" t="s">
        <v>27</v>
      </c>
      <c r="H46" s="8" t="str">
        <f t="shared" si="0"/>
        <v/>
      </c>
      <c r="I46" s="8" t="str">
        <f>IF(H46 = "y", "NA", "")</f>
        <v/>
      </c>
    </row>
    <row r="47" spans="1:10" x14ac:dyDescent="0.25">
      <c r="A47">
        <v>1</v>
      </c>
      <c r="B47" s="5">
        <v>0.34464120370370371</v>
      </c>
      <c r="D47" s="2" t="s">
        <v>12</v>
      </c>
      <c r="E47" s="7" t="s">
        <v>16</v>
      </c>
      <c r="F47" s="7" t="s">
        <v>27</v>
      </c>
      <c r="H47" s="8" t="str">
        <f t="shared" si="0"/>
        <v/>
      </c>
      <c r="I47" s="8" t="str">
        <f t="shared" ref="I47:I48" si="4">IF(H47 = "y", "NA", "")</f>
        <v/>
      </c>
    </row>
    <row r="48" spans="1:10" x14ac:dyDescent="0.25">
      <c r="A48">
        <v>1</v>
      </c>
      <c r="B48" s="5">
        <v>0.34490740740740744</v>
      </c>
      <c r="D48" s="2" t="s">
        <v>12</v>
      </c>
      <c r="E48" s="7" t="s">
        <v>32</v>
      </c>
      <c r="F48" s="7" t="s">
        <v>9</v>
      </c>
      <c r="H48" s="8" t="str">
        <f t="shared" si="0"/>
        <v/>
      </c>
      <c r="I48" s="8" t="str">
        <f t="shared" si="4"/>
        <v/>
      </c>
    </row>
    <row r="49" spans="1:10" x14ac:dyDescent="0.25">
      <c r="A49">
        <v>1</v>
      </c>
      <c r="B49" s="5">
        <v>0.34629629629629632</v>
      </c>
      <c r="D49" s="2" t="s">
        <v>21</v>
      </c>
      <c r="E49" s="7" t="s">
        <v>25</v>
      </c>
      <c r="F49" s="7" t="s">
        <v>28</v>
      </c>
      <c r="G49" s="8" t="s">
        <v>15</v>
      </c>
      <c r="H49" s="8" t="str">
        <f t="shared" si="0"/>
        <v>NA</v>
      </c>
      <c r="I49" s="8" t="s">
        <v>15</v>
      </c>
      <c r="J49" s="20" t="s">
        <v>35</v>
      </c>
    </row>
    <row r="50" spans="1:10" x14ac:dyDescent="0.25">
      <c r="A50">
        <v>1</v>
      </c>
      <c r="B50" s="5">
        <v>0.34677083333333331</v>
      </c>
      <c r="D50" s="2" t="s">
        <v>12</v>
      </c>
      <c r="E50" s="7" t="s">
        <v>22</v>
      </c>
      <c r="F50" s="7" t="s">
        <v>25</v>
      </c>
      <c r="H50" s="8" t="str">
        <f t="shared" si="0"/>
        <v/>
      </c>
      <c r="I50" s="8" t="str">
        <f t="shared" si="0"/>
        <v/>
      </c>
      <c r="J50" t="s">
        <v>36</v>
      </c>
    </row>
    <row r="51" spans="1:10" x14ac:dyDescent="0.25">
      <c r="A51">
        <v>1</v>
      </c>
      <c r="B51" s="5">
        <v>0.34678240740740746</v>
      </c>
      <c r="D51" s="2" t="s">
        <v>12</v>
      </c>
      <c r="E51" s="7" t="s">
        <v>32</v>
      </c>
      <c r="F51" s="7" t="s">
        <v>25</v>
      </c>
      <c r="H51" s="8" t="str">
        <f t="shared" si="0"/>
        <v/>
      </c>
      <c r="I51" s="8" t="str">
        <f t="shared" si="0"/>
        <v/>
      </c>
      <c r="J51" t="s">
        <v>36</v>
      </c>
    </row>
    <row r="52" spans="1:10" x14ac:dyDescent="0.25">
      <c r="A52">
        <v>1</v>
      </c>
      <c r="B52" s="5">
        <v>0.34718749999999998</v>
      </c>
      <c r="D52" s="2" t="s">
        <v>21</v>
      </c>
      <c r="E52" s="7" t="s">
        <v>22</v>
      </c>
      <c r="F52" s="7" t="s">
        <v>20</v>
      </c>
      <c r="G52" s="8" t="s">
        <v>15</v>
      </c>
      <c r="H52" s="8" t="str">
        <f t="shared" si="0"/>
        <v>NA</v>
      </c>
      <c r="I52" s="8" t="s">
        <v>15</v>
      </c>
      <c r="J52" s="20" t="s">
        <v>37</v>
      </c>
    </row>
    <row r="53" spans="1:10" x14ac:dyDescent="0.25">
      <c r="A53">
        <v>1</v>
      </c>
      <c r="B53" s="5">
        <v>0.34797453703703707</v>
      </c>
      <c r="D53" s="2" t="s">
        <v>12</v>
      </c>
      <c r="E53" s="7" t="s">
        <v>19</v>
      </c>
      <c r="F53" s="7" t="s">
        <v>13</v>
      </c>
      <c r="H53" s="8" t="str">
        <f t="shared" si="0"/>
        <v/>
      </c>
      <c r="I53" s="8" t="str">
        <f t="shared" si="0"/>
        <v/>
      </c>
    </row>
    <row r="54" spans="1:10" x14ac:dyDescent="0.25">
      <c r="A54">
        <v>1</v>
      </c>
      <c r="B54" s="5">
        <v>0.34804398148148147</v>
      </c>
      <c r="D54" s="2" t="s">
        <v>12</v>
      </c>
      <c r="E54" s="7" t="s">
        <v>32</v>
      </c>
      <c r="F54" s="7" t="s">
        <v>20</v>
      </c>
      <c r="G54" s="8" t="s">
        <v>15</v>
      </c>
      <c r="H54" s="8" t="str">
        <f t="shared" si="0"/>
        <v>NA</v>
      </c>
      <c r="I54" s="8" t="s">
        <v>30</v>
      </c>
    </row>
    <row r="55" spans="1:10" x14ac:dyDescent="0.25">
      <c r="A55">
        <v>1</v>
      </c>
      <c r="B55" s="5">
        <v>0.34872685185185182</v>
      </c>
      <c r="D55" s="2" t="s">
        <v>21</v>
      </c>
      <c r="E55" s="7" t="s">
        <v>32</v>
      </c>
      <c r="F55" s="7" t="s">
        <v>20</v>
      </c>
      <c r="G55" s="8" t="s">
        <v>30</v>
      </c>
      <c r="H55" s="8" t="s">
        <v>15</v>
      </c>
      <c r="I55" s="8" t="s">
        <v>15</v>
      </c>
    </row>
    <row r="56" spans="1:10" x14ac:dyDescent="0.25">
      <c r="A56">
        <v>1</v>
      </c>
      <c r="B56" s="5">
        <v>0.34932870370370367</v>
      </c>
      <c r="D56" s="2" t="s">
        <v>21</v>
      </c>
      <c r="E56" s="7" t="s">
        <v>22</v>
      </c>
      <c r="F56" s="7" t="s">
        <v>38</v>
      </c>
      <c r="G56" s="8" t="s">
        <v>15</v>
      </c>
      <c r="H56" s="8" t="str">
        <f t="shared" si="0"/>
        <v>NA</v>
      </c>
      <c r="I56" s="8" t="s">
        <v>15</v>
      </c>
    </row>
    <row r="57" spans="1:10" x14ac:dyDescent="0.25">
      <c r="A57">
        <v>1</v>
      </c>
      <c r="B57" s="5">
        <v>0.3498148148148148</v>
      </c>
      <c r="D57" s="2" t="s">
        <v>12</v>
      </c>
      <c r="E57" s="7" t="s">
        <v>24</v>
      </c>
      <c r="F57" s="7" t="s">
        <v>9</v>
      </c>
      <c r="H57" s="8" t="str">
        <f t="shared" si="0"/>
        <v/>
      </c>
      <c r="I57" s="8" t="str">
        <f>IF(H57 = "y", "NA", "")</f>
        <v/>
      </c>
    </row>
    <row r="58" spans="1:10" x14ac:dyDescent="0.25">
      <c r="A58">
        <v>1</v>
      </c>
      <c r="B58" s="5">
        <v>0.35000000000000003</v>
      </c>
      <c r="D58" s="2" t="s">
        <v>12</v>
      </c>
      <c r="E58" s="7" t="s">
        <v>24</v>
      </c>
      <c r="F58" s="7" t="s">
        <v>25</v>
      </c>
      <c r="H58" s="8" t="str">
        <f t="shared" si="0"/>
        <v/>
      </c>
      <c r="I58" s="8" t="str">
        <f t="shared" ref="I58:I61" si="5">IF(H58 = "y", "NA", "")</f>
        <v/>
      </c>
    </row>
    <row r="59" spans="1:10" x14ac:dyDescent="0.25">
      <c r="A59">
        <v>1</v>
      </c>
      <c r="B59" s="5">
        <v>0.3510300925925926</v>
      </c>
      <c r="D59" s="2" t="s">
        <v>12</v>
      </c>
      <c r="E59" s="7" t="s">
        <v>23</v>
      </c>
      <c r="F59" s="7" t="s">
        <v>27</v>
      </c>
      <c r="H59" s="8" t="str">
        <f t="shared" si="0"/>
        <v/>
      </c>
      <c r="I59" s="8" t="str">
        <f t="shared" si="5"/>
        <v/>
      </c>
    </row>
    <row r="60" spans="1:10" x14ac:dyDescent="0.25">
      <c r="A60">
        <v>1</v>
      </c>
      <c r="B60" s="5">
        <v>0.35114583333333332</v>
      </c>
      <c r="D60" s="2" t="s">
        <v>12</v>
      </c>
      <c r="E60" s="7" t="s">
        <v>16</v>
      </c>
      <c r="F60" s="7" t="s">
        <v>23</v>
      </c>
      <c r="H60" s="8" t="str">
        <f t="shared" si="0"/>
        <v/>
      </c>
      <c r="I60" s="8" t="str">
        <f t="shared" si="5"/>
        <v/>
      </c>
    </row>
    <row r="61" spans="1:10" x14ac:dyDescent="0.25">
      <c r="A61">
        <v>1</v>
      </c>
      <c r="B61" s="5">
        <v>0.3512615740740741</v>
      </c>
      <c r="D61" s="2" t="s">
        <v>12</v>
      </c>
      <c r="E61" s="7" t="s">
        <v>24</v>
      </c>
      <c r="F61" s="7" t="s">
        <v>32</v>
      </c>
      <c r="H61" s="8" t="str">
        <f t="shared" si="0"/>
        <v/>
      </c>
      <c r="I61" s="8" t="str">
        <f t="shared" si="5"/>
        <v/>
      </c>
    </row>
    <row r="62" spans="1:10" x14ac:dyDescent="0.25">
      <c r="A62">
        <v>1</v>
      </c>
      <c r="B62" s="5">
        <v>0.35144675925925922</v>
      </c>
      <c r="D62" s="2" t="s">
        <v>12</v>
      </c>
      <c r="E62" s="7" t="s">
        <v>32</v>
      </c>
      <c r="F62" s="7" t="s">
        <v>26</v>
      </c>
      <c r="G62" s="8" t="s">
        <v>30</v>
      </c>
      <c r="H62" s="8" t="s">
        <v>30</v>
      </c>
      <c r="I62" s="8" t="s">
        <v>31</v>
      </c>
    </row>
    <row r="63" spans="1:10" x14ac:dyDescent="0.25">
      <c r="A63">
        <v>1</v>
      </c>
      <c r="B63" s="5">
        <v>0.35150462962962964</v>
      </c>
      <c r="D63" s="2" t="s">
        <v>12</v>
      </c>
      <c r="E63" s="7" t="s">
        <v>24</v>
      </c>
      <c r="F63" s="7" t="s">
        <v>26</v>
      </c>
      <c r="G63" s="8" t="s">
        <v>30</v>
      </c>
      <c r="H63" s="8" t="s">
        <v>30</v>
      </c>
      <c r="I63" s="8" t="s">
        <v>31</v>
      </c>
    </row>
    <row r="64" spans="1:10" x14ac:dyDescent="0.25">
      <c r="A64">
        <v>1</v>
      </c>
      <c r="B64" s="5">
        <v>0.3517939814814815</v>
      </c>
      <c r="D64" s="2" t="s">
        <v>12</v>
      </c>
      <c r="E64" s="7" t="s">
        <v>32</v>
      </c>
      <c r="F64" s="7" t="s">
        <v>18</v>
      </c>
      <c r="G64" s="8" t="s">
        <v>30</v>
      </c>
      <c r="H64" s="8" t="s">
        <v>30</v>
      </c>
      <c r="I64" s="8" t="s">
        <v>31</v>
      </c>
    </row>
    <row r="65" spans="1:10" x14ac:dyDescent="0.25">
      <c r="A65">
        <v>1</v>
      </c>
      <c r="B65" s="5">
        <v>0.3517939814814815</v>
      </c>
      <c r="D65" s="2" t="s">
        <v>12</v>
      </c>
      <c r="E65" s="7" t="s">
        <v>24</v>
      </c>
      <c r="F65" s="7" t="s">
        <v>18</v>
      </c>
      <c r="G65" s="8" t="s">
        <v>30</v>
      </c>
      <c r="H65" s="8" t="s">
        <v>30</v>
      </c>
      <c r="I65" s="8" t="s">
        <v>31</v>
      </c>
    </row>
    <row r="66" spans="1:10" x14ac:dyDescent="0.25">
      <c r="A66">
        <v>1</v>
      </c>
      <c r="B66" s="5">
        <v>0.35278935185185184</v>
      </c>
      <c r="D66" s="2" t="s">
        <v>12</v>
      </c>
      <c r="E66" s="7" t="s">
        <v>25</v>
      </c>
      <c r="F66" s="7" t="s">
        <v>32</v>
      </c>
      <c r="I66" s="8" t="str">
        <f>IF(H66 = "y", "NA", "")</f>
        <v/>
      </c>
    </row>
    <row r="67" spans="1:10" x14ac:dyDescent="0.25">
      <c r="A67">
        <v>1</v>
      </c>
      <c r="B67" s="5">
        <v>0.3530787037037037</v>
      </c>
      <c r="D67" s="2" t="s">
        <v>12</v>
      </c>
      <c r="E67" s="7" t="s">
        <v>22</v>
      </c>
      <c r="F67" s="7" t="s">
        <v>39</v>
      </c>
      <c r="G67" s="8" t="s">
        <v>15</v>
      </c>
      <c r="H67" s="8" t="str">
        <f t="shared" ref="H67:H130" si="6">IF(G67 = "n", "NA", "")</f>
        <v>NA</v>
      </c>
      <c r="I67" s="8" t="s">
        <v>30</v>
      </c>
    </row>
    <row r="68" spans="1:10" x14ac:dyDescent="0.25">
      <c r="A68">
        <v>1</v>
      </c>
      <c r="B68" s="5">
        <v>0.35335648148148152</v>
      </c>
      <c r="D68" s="2" t="s">
        <v>21</v>
      </c>
      <c r="E68" s="7" t="s">
        <v>9</v>
      </c>
      <c r="F68" s="7" t="s">
        <v>26</v>
      </c>
      <c r="G68" s="8" t="s">
        <v>15</v>
      </c>
      <c r="H68" s="8" t="str">
        <f t="shared" si="6"/>
        <v>NA</v>
      </c>
      <c r="I68" s="8" t="s">
        <v>15</v>
      </c>
    </row>
    <row r="69" spans="1:10" x14ac:dyDescent="0.25">
      <c r="A69">
        <v>1</v>
      </c>
      <c r="B69" s="5">
        <v>0.3540625</v>
      </c>
      <c r="D69" s="2" t="s">
        <v>21</v>
      </c>
      <c r="E69" s="7" t="s">
        <v>24</v>
      </c>
      <c r="F69" s="7" t="s">
        <v>28</v>
      </c>
      <c r="G69" s="8" t="s">
        <v>30</v>
      </c>
      <c r="H69" s="8" t="s">
        <v>15</v>
      </c>
      <c r="I69" s="8" t="s">
        <v>15</v>
      </c>
    </row>
    <row r="70" spans="1:10" x14ac:dyDescent="0.25">
      <c r="A70">
        <v>1</v>
      </c>
      <c r="B70" s="5">
        <v>0.35431712962962963</v>
      </c>
      <c r="D70" s="2" t="s">
        <v>12</v>
      </c>
      <c r="E70" s="7" t="s">
        <v>16</v>
      </c>
      <c r="F70" s="7" t="s">
        <v>23</v>
      </c>
      <c r="H70" s="8" t="str">
        <f t="shared" si="6"/>
        <v/>
      </c>
      <c r="I70" s="8" t="str">
        <f>IF(H70 = "y", "NA", "")</f>
        <v/>
      </c>
    </row>
    <row r="71" spans="1:10" x14ac:dyDescent="0.25">
      <c r="A71">
        <v>1</v>
      </c>
      <c r="B71" s="5">
        <v>0.35509259259259257</v>
      </c>
      <c r="C71" s="5">
        <v>0.35626157407407405</v>
      </c>
      <c r="D71" s="2" t="s">
        <v>21</v>
      </c>
      <c r="E71" s="7" t="s">
        <v>22</v>
      </c>
      <c r="F71" s="7" t="s">
        <v>18</v>
      </c>
      <c r="G71" s="8" t="s">
        <v>15</v>
      </c>
      <c r="H71" s="8" t="str">
        <f t="shared" si="6"/>
        <v>NA</v>
      </c>
      <c r="I71" s="8" t="s">
        <v>15</v>
      </c>
    </row>
    <row r="72" spans="1:10" x14ac:dyDescent="0.25">
      <c r="A72">
        <v>1</v>
      </c>
      <c r="B72" s="5">
        <v>0.35582175925925924</v>
      </c>
      <c r="D72" s="2" t="s">
        <v>21</v>
      </c>
      <c r="E72" s="7" t="s">
        <v>32</v>
      </c>
      <c r="F72" s="7" t="s">
        <v>20</v>
      </c>
      <c r="G72" s="8" t="s">
        <v>30</v>
      </c>
      <c r="H72" s="8" t="s">
        <v>15</v>
      </c>
      <c r="I72" s="8" t="s">
        <v>15</v>
      </c>
    </row>
    <row r="73" spans="1:10" x14ac:dyDescent="0.25">
      <c r="A73">
        <v>1</v>
      </c>
      <c r="B73" s="5">
        <v>0.35598379629629634</v>
      </c>
      <c r="D73" s="2" t="s">
        <v>21</v>
      </c>
      <c r="E73" s="7" t="s">
        <v>16</v>
      </c>
      <c r="F73" s="7" t="s">
        <v>38</v>
      </c>
      <c r="G73" s="8" t="s">
        <v>15</v>
      </c>
      <c r="H73" s="8" t="str">
        <f t="shared" si="6"/>
        <v>NA</v>
      </c>
      <c r="I73" s="8" t="s">
        <v>15</v>
      </c>
    </row>
    <row r="74" spans="1:10" x14ac:dyDescent="0.25">
      <c r="A74">
        <v>1</v>
      </c>
      <c r="B74" s="5">
        <v>0.35646990740740742</v>
      </c>
      <c r="D74" s="2" t="s">
        <v>12</v>
      </c>
      <c r="E74" s="7" t="s">
        <v>27</v>
      </c>
      <c r="F74" s="7" t="s">
        <v>38</v>
      </c>
      <c r="G74" s="8" t="s">
        <v>30</v>
      </c>
      <c r="H74" s="8" t="s">
        <v>30</v>
      </c>
      <c r="I74" s="8" t="s">
        <v>31</v>
      </c>
      <c r="J74" s="20" t="s">
        <v>40</v>
      </c>
    </row>
    <row r="75" spans="1:10" x14ac:dyDescent="0.25">
      <c r="A75">
        <v>1</v>
      </c>
      <c r="B75" s="5">
        <v>0.35716435185185186</v>
      </c>
      <c r="D75" s="2" t="s">
        <v>12</v>
      </c>
      <c r="E75" s="7" t="s">
        <v>25</v>
      </c>
      <c r="F75" s="7" t="s">
        <v>33</v>
      </c>
      <c r="G75" s="8" t="s">
        <v>30</v>
      </c>
      <c r="H75" s="8" t="s">
        <v>15</v>
      </c>
      <c r="I75" s="8" t="s">
        <v>30</v>
      </c>
    </row>
    <row r="76" spans="1:10" x14ac:dyDescent="0.25">
      <c r="A76">
        <v>1</v>
      </c>
      <c r="B76" s="5">
        <v>0.35730324074074077</v>
      </c>
      <c r="D76" s="2" t="s">
        <v>21</v>
      </c>
      <c r="E76" s="7" t="s">
        <v>23</v>
      </c>
      <c r="F76" s="7" t="s">
        <v>38</v>
      </c>
      <c r="G76" s="8" t="s">
        <v>15</v>
      </c>
      <c r="H76" s="8" t="str">
        <f t="shared" si="6"/>
        <v>NA</v>
      </c>
      <c r="I76" s="8" t="s">
        <v>15</v>
      </c>
    </row>
    <row r="77" spans="1:10" x14ac:dyDescent="0.25">
      <c r="A77">
        <v>1</v>
      </c>
      <c r="B77" s="5">
        <v>0.35806712962962961</v>
      </c>
      <c r="D77" s="2" t="s">
        <v>12</v>
      </c>
      <c r="E77" s="7" t="s">
        <v>25</v>
      </c>
      <c r="F77" s="7" t="s">
        <v>33</v>
      </c>
      <c r="G77" s="8" t="s">
        <v>30</v>
      </c>
      <c r="H77" s="8" t="s">
        <v>15</v>
      </c>
      <c r="I77" s="8" t="s">
        <v>30</v>
      </c>
    </row>
    <row r="78" spans="1:10" x14ac:dyDescent="0.25">
      <c r="A78">
        <v>1</v>
      </c>
      <c r="B78" s="5">
        <v>0.35827546296296298</v>
      </c>
      <c r="C78" s="5"/>
      <c r="D78" s="2" t="s">
        <v>12</v>
      </c>
      <c r="E78" s="7" t="s">
        <v>19</v>
      </c>
      <c r="F78" s="7" t="s">
        <v>14</v>
      </c>
      <c r="G78" s="8" t="s">
        <v>30</v>
      </c>
      <c r="H78" s="8" t="s">
        <v>30</v>
      </c>
      <c r="I78" s="8" t="str">
        <f t="shared" ref="I78:I134" si="7">IF(H78 = "y", "NA", "")</f>
        <v>NA</v>
      </c>
    </row>
    <row r="79" spans="1:10" x14ac:dyDescent="0.25">
      <c r="A79">
        <v>1</v>
      </c>
      <c r="B79" s="5">
        <v>0.35843749999999996</v>
      </c>
      <c r="D79" s="2" t="s">
        <v>12</v>
      </c>
      <c r="E79" s="7" t="s">
        <v>22</v>
      </c>
      <c r="F79" s="7" t="s">
        <v>39</v>
      </c>
      <c r="G79" s="8" t="s">
        <v>30</v>
      </c>
      <c r="H79" s="8" t="s">
        <v>15</v>
      </c>
      <c r="I79" s="8" t="s">
        <v>30</v>
      </c>
    </row>
    <row r="80" spans="1:10" x14ac:dyDescent="0.25">
      <c r="A80">
        <v>1</v>
      </c>
      <c r="B80" s="5">
        <v>0.35849537037037038</v>
      </c>
      <c r="D80" s="2" t="s">
        <v>12</v>
      </c>
      <c r="E80" s="7" t="s">
        <v>24</v>
      </c>
      <c r="F80" s="7" t="s">
        <v>28</v>
      </c>
      <c r="G80" s="8" t="s">
        <v>30</v>
      </c>
      <c r="H80" s="8" t="s">
        <v>30</v>
      </c>
      <c r="I80" s="8" t="str">
        <f t="shared" si="7"/>
        <v>NA</v>
      </c>
    </row>
    <row r="81" spans="1:10" x14ac:dyDescent="0.25">
      <c r="A81">
        <v>1</v>
      </c>
      <c r="B81" s="5">
        <v>0.3589236111111111</v>
      </c>
      <c r="D81" s="2" t="s">
        <v>12</v>
      </c>
      <c r="E81" s="7" t="s">
        <v>24</v>
      </c>
      <c r="F81" s="7" t="s">
        <v>28</v>
      </c>
      <c r="G81" s="8" t="s">
        <v>30</v>
      </c>
      <c r="H81" s="8" t="s">
        <v>15</v>
      </c>
      <c r="I81" s="8" t="s">
        <v>30</v>
      </c>
    </row>
    <row r="82" spans="1:10" x14ac:dyDescent="0.25">
      <c r="A82">
        <v>1</v>
      </c>
      <c r="B82" s="5">
        <v>0.35908564814814814</v>
      </c>
      <c r="D82" s="2" t="s">
        <v>12</v>
      </c>
      <c r="E82" s="7" t="s">
        <v>23</v>
      </c>
      <c r="F82" s="7" t="s">
        <v>27</v>
      </c>
      <c r="H82" s="8" t="str">
        <f t="shared" si="6"/>
        <v/>
      </c>
      <c r="I82" s="8" t="str">
        <f t="shared" si="7"/>
        <v/>
      </c>
    </row>
    <row r="83" spans="1:10" x14ac:dyDescent="0.25">
      <c r="A83">
        <v>1</v>
      </c>
      <c r="B83" s="5">
        <v>0.35928240740740741</v>
      </c>
      <c r="D83" s="2" t="s">
        <v>12</v>
      </c>
      <c r="E83" s="7" t="s">
        <v>16</v>
      </c>
      <c r="F83" s="7" t="s">
        <v>23</v>
      </c>
      <c r="H83" s="8" t="str">
        <f t="shared" si="6"/>
        <v/>
      </c>
      <c r="I83" s="8" t="str">
        <f t="shared" si="7"/>
        <v/>
      </c>
    </row>
    <row r="84" spans="1:10" x14ac:dyDescent="0.25">
      <c r="A84">
        <v>1</v>
      </c>
      <c r="B84" s="5">
        <v>0.35936342592592596</v>
      </c>
      <c r="D84" s="2" t="s">
        <v>12</v>
      </c>
      <c r="E84" s="7" t="s">
        <v>25</v>
      </c>
      <c r="F84" s="7" t="s">
        <v>38</v>
      </c>
      <c r="G84" s="8" t="s">
        <v>30</v>
      </c>
      <c r="H84" s="8" t="s">
        <v>15</v>
      </c>
      <c r="I84" s="8" t="s">
        <v>30</v>
      </c>
      <c r="J84" s="20" t="s">
        <v>41</v>
      </c>
    </row>
    <row r="85" spans="1:10" x14ac:dyDescent="0.25">
      <c r="A85">
        <v>1</v>
      </c>
      <c r="B85" s="5">
        <v>0.35975694444444445</v>
      </c>
      <c r="D85" s="2" t="s">
        <v>12</v>
      </c>
      <c r="E85" s="7" t="s">
        <v>19</v>
      </c>
      <c r="F85" s="7" t="s">
        <v>14</v>
      </c>
      <c r="G85" s="8" t="s">
        <v>30</v>
      </c>
      <c r="H85" s="8" t="s">
        <v>15</v>
      </c>
      <c r="I85" s="8" t="s">
        <v>30</v>
      </c>
    </row>
    <row r="86" spans="1:10" x14ac:dyDescent="0.25">
      <c r="A86">
        <v>1</v>
      </c>
      <c r="B86" s="5">
        <v>0.36070601851851852</v>
      </c>
      <c r="D86" s="2" t="s">
        <v>21</v>
      </c>
      <c r="E86" s="7" t="s">
        <v>24</v>
      </c>
      <c r="F86" s="7" t="s">
        <v>26</v>
      </c>
      <c r="G86" s="8" t="s">
        <v>30</v>
      </c>
      <c r="H86" s="8" t="s">
        <v>15</v>
      </c>
      <c r="I86" s="8" t="s">
        <v>15</v>
      </c>
    </row>
    <row r="87" spans="1:10" x14ac:dyDescent="0.25">
      <c r="A87">
        <v>1</v>
      </c>
      <c r="B87" s="5">
        <v>0.36128472222222219</v>
      </c>
      <c r="D87" s="2" t="s">
        <v>12</v>
      </c>
      <c r="E87" s="7" t="s">
        <v>22</v>
      </c>
      <c r="F87" s="7" t="s">
        <v>39</v>
      </c>
      <c r="G87" s="8" t="s">
        <v>15</v>
      </c>
      <c r="H87" s="8" t="str">
        <f t="shared" si="6"/>
        <v>NA</v>
      </c>
      <c r="I87" s="8" t="s">
        <v>30</v>
      </c>
    </row>
    <row r="88" spans="1:10" x14ac:dyDescent="0.25">
      <c r="A88">
        <v>1</v>
      </c>
      <c r="B88" s="5">
        <v>0.36146990740740742</v>
      </c>
      <c r="D88" s="2" t="s">
        <v>12</v>
      </c>
      <c r="E88" s="7" t="s">
        <v>24</v>
      </c>
      <c r="F88" s="7" t="s">
        <v>26</v>
      </c>
      <c r="G88" s="8" t="s">
        <v>30</v>
      </c>
      <c r="H88" s="8" t="s">
        <v>15</v>
      </c>
      <c r="I88" s="8" t="s">
        <v>30</v>
      </c>
    </row>
    <row r="89" spans="1:10" x14ac:dyDescent="0.25">
      <c r="A89">
        <v>1</v>
      </c>
      <c r="B89" s="5">
        <v>0.36163194444444446</v>
      </c>
      <c r="D89" s="2" t="s">
        <v>12</v>
      </c>
      <c r="E89" s="7" t="s">
        <v>22</v>
      </c>
      <c r="F89" s="7" t="s">
        <v>20</v>
      </c>
      <c r="G89" s="8" t="s">
        <v>15</v>
      </c>
      <c r="H89" s="8" t="str">
        <f t="shared" si="6"/>
        <v>NA</v>
      </c>
      <c r="I89" s="8" t="s">
        <v>30</v>
      </c>
    </row>
    <row r="90" spans="1:10" x14ac:dyDescent="0.25">
      <c r="A90">
        <v>1</v>
      </c>
      <c r="B90" s="5">
        <v>0.36256944444444444</v>
      </c>
      <c r="D90" s="2" t="s">
        <v>12</v>
      </c>
      <c r="E90" s="7" t="s">
        <v>25</v>
      </c>
      <c r="F90" s="7" t="s">
        <v>38</v>
      </c>
      <c r="G90" s="8" t="s">
        <v>30</v>
      </c>
      <c r="H90" s="8" t="s">
        <v>15</v>
      </c>
      <c r="I90" s="8" t="s">
        <v>30</v>
      </c>
    </row>
    <row r="91" spans="1:10" x14ac:dyDescent="0.25">
      <c r="A91">
        <v>1</v>
      </c>
      <c r="B91" s="5">
        <v>0.36302083333333335</v>
      </c>
      <c r="D91" s="2" t="s">
        <v>12</v>
      </c>
      <c r="E91" s="7" t="s">
        <v>24</v>
      </c>
      <c r="F91" s="7" t="s">
        <v>10</v>
      </c>
      <c r="H91" s="8" t="str">
        <f t="shared" si="6"/>
        <v/>
      </c>
      <c r="I91" s="8" t="str">
        <f t="shared" si="7"/>
        <v/>
      </c>
      <c r="J91" t="s">
        <v>44</v>
      </c>
    </row>
    <row r="92" spans="1:10" x14ac:dyDescent="0.25">
      <c r="A92">
        <v>1</v>
      </c>
      <c r="B92" s="5">
        <v>0.3639236111111111</v>
      </c>
      <c r="D92" s="2" t="s">
        <v>12</v>
      </c>
      <c r="E92" s="7" t="s">
        <v>24</v>
      </c>
      <c r="F92" s="7" t="s">
        <v>38</v>
      </c>
      <c r="G92" s="8" t="s">
        <v>30</v>
      </c>
      <c r="H92" s="8" t="s">
        <v>30</v>
      </c>
      <c r="I92" s="8" t="str">
        <f t="shared" si="7"/>
        <v>NA</v>
      </c>
    </row>
    <row r="93" spans="1:10" x14ac:dyDescent="0.25">
      <c r="A93">
        <v>1</v>
      </c>
      <c r="B93" s="5">
        <v>0.3644444444444444</v>
      </c>
      <c r="D93" s="2" t="s">
        <v>12</v>
      </c>
      <c r="E93" s="7" t="s">
        <v>32</v>
      </c>
      <c r="F93" s="7" t="s">
        <v>33</v>
      </c>
      <c r="G93" s="8" t="s">
        <v>30</v>
      </c>
      <c r="H93" s="8" t="s">
        <v>30</v>
      </c>
      <c r="I93" s="8" t="str">
        <f t="shared" si="7"/>
        <v>NA</v>
      </c>
    </row>
    <row r="94" spans="1:10" x14ac:dyDescent="0.25">
      <c r="A94">
        <v>1</v>
      </c>
      <c r="B94" s="5">
        <v>0.36517361111111107</v>
      </c>
      <c r="D94" s="2" t="s">
        <v>21</v>
      </c>
      <c r="E94" s="7" t="s">
        <v>42</v>
      </c>
      <c r="F94" s="7" t="s">
        <v>38</v>
      </c>
      <c r="G94" s="8" t="s">
        <v>15</v>
      </c>
      <c r="H94" s="8" t="str">
        <f t="shared" si="6"/>
        <v>NA</v>
      </c>
      <c r="I94" s="8" t="s">
        <v>15</v>
      </c>
    </row>
    <row r="95" spans="1:10" x14ac:dyDescent="0.25">
      <c r="A95">
        <v>1</v>
      </c>
      <c r="B95" s="5">
        <v>0.36623842592592593</v>
      </c>
      <c r="D95" s="2" t="s">
        <v>12</v>
      </c>
      <c r="E95" s="7" t="s">
        <v>25</v>
      </c>
      <c r="F95" s="7" t="s">
        <v>26</v>
      </c>
      <c r="G95" s="8" t="s">
        <v>15</v>
      </c>
      <c r="H95" s="8" t="str">
        <f t="shared" si="6"/>
        <v>NA</v>
      </c>
      <c r="I95" s="8" t="s">
        <v>30</v>
      </c>
      <c r="J95" s="20" t="s">
        <v>43</v>
      </c>
    </row>
    <row r="96" spans="1:10" x14ac:dyDescent="0.25">
      <c r="A96">
        <v>1</v>
      </c>
      <c r="B96" s="5">
        <v>0.36670138888888887</v>
      </c>
      <c r="D96" s="2" t="s">
        <v>12</v>
      </c>
      <c r="E96" s="7" t="s">
        <v>24</v>
      </c>
      <c r="F96" s="7" t="s">
        <v>20</v>
      </c>
      <c r="G96" s="8" t="s">
        <v>15</v>
      </c>
      <c r="H96" s="8" t="str">
        <f t="shared" si="6"/>
        <v>NA</v>
      </c>
      <c r="I96" s="8" t="s">
        <v>30</v>
      </c>
    </row>
    <row r="97" spans="1:10" x14ac:dyDescent="0.25">
      <c r="A97">
        <v>1</v>
      </c>
      <c r="B97" s="5">
        <v>0.36689814814814814</v>
      </c>
      <c r="D97" s="2" t="s">
        <v>12</v>
      </c>
      <c r="E97" s="7" t="s">
        <v>32</v>
      </c>
      <c r="F97" s="7" t="s">
        <v>20</v>
      </c>
      <c r="G97" s="8" t="s">
        <v>15</v>
      </c>
      <c r="H97" s="8" t="str">
        <f t="shared" si="6"/>
        <v>NA</v>
      </c>
      <c r="I97" s="8" t="s">
        <v>30</v>
      </c>
    </row>
    <row r="98" spans="1:10" x14ac:dyDescent="0.25">
      <c r="A98">
        <v>1</v>
      </c>
      <c r="B98" s="5">
        <v>0.36697916666666663</v>
      </c>
      <c r="D98" s="2" t="s">
        <v>12</v>
      </c>
      <c r="E98" s="7" t="s">
        <v>22</v>
      </c>
      <c r="F98" s="7" t="s">
        <v>42</v>
      </c>
      <c r="H98" s="8" t="str">
        <f t="shared" si="6"/>
        <v/>
      </c>
      <c r="I98" s="8" t="str">
        <f t="shared" si="7"/>
        <v/>
      </c>
    </row>
    <row r="99" spans="1:10" x14ac:dyDescent="0.25">
      <c r="A99">
        <v>1</v>
      </c>
      <c r="B99" s="5">
        <v>0.36722222222222217</v>
      </c>
      <c r="D99" s="2" t="s">
        <v>12</v>
      </c>
      <c r="E99" s="7" t="s">
        <v>42</v>
      </c>
      <c r="F99" s="7" t="s">
        <v>39</v>
      </c>
      <c r="G99" s="8" t="s">
        <v>30</v>
      </c>
      <c r="H99" s="8" t="s">
        <v>30</v>
      </c>
      <c r="I99" s="8" t="str">
        <f t="shared" si="7"/>
        <v>NA</v>
      </c>
    </row>
    <row r="100" spans="1:10" x14ac:dyDescent="0.25">
      <c r="A100">
        <v>1</v>
      </c>
      <c r="B100" s="5">
        <v>0.36776620370370372</v>
      </c>
      <c r="D100" s="2" t="s">
        <v>12</v>
      </c>
      <c r="E100" s="7" t="s">
        <v>24</v>
      </c>
      <c r="F100" s="7" t="s">
        <v>20</v>
      </c>
      <c r="G100" s="8" t="s">
        <v>30</v>
      </c>
      <c r="H100" s="8" t="s">
        <v>15</v>
      </c>
      <c r="I100" s="8" t="s">
        <v>30</v>
      </c>
    </row>
    <row r="101" spans="1:10" x14ac:dyDescent="0.25">
      <c r="A101">
        <v>1</v>
      </c>
      <c r="B101" s="5">
        <v>0.36797453703703703</v>
      </c>
      <c r="D101" s="2" t="s">
        <v>12</v>
      </c>
      <c r="E101" s="7" t="s">
        <v>42</v>
      </c>
      <c r="F101" s="7" t="s">
        <v>39</v>
      </c>
      <c r="G101" s="8" t="s">
        <v>30</v>
      </c>
      <c r="H101" s="8" t="s">
        <v>30</v>
      </c>
      <c r="I101" s="8" t="str">
        <f t="shared" si="7"/>
        <v>NA</v>
      </c>
    </row>
    <row r="102" spans="1:10" x14ac:dyDescent="0.25">
      <c r="A102">
        <v>1</v>
      </c>
      <c r="B102" s="5">
        <v>0.36820601851851853</v>
      </c>
      <c r="D102" s="2" t="s">
        <v>21</v>
      </c>
      <c r="E102" s="7" t="s">
        <v>42</v>
      </c>
      <c r="F102" s="7" t="s">
        <v>39</v>
      </c>
      <c r="G102" s="8" t="s">
        <v>30</v>
      </c>
      <c r="H102" s="8" t="s">
        <v>15</v>
      </c>
      <c r="I102" s="8" t="s">
        <v>15</v>
      </c>
    </row>
    <row r="103" spans="1:10" x14ac:dyDescent="0.25">
      <c r="A103">
        <v>1</v>
      </c>
      <c r="B103" s="5">
        <v>0.36857638888888888</v>
      </c>
      <c r="D103" s="2" t="s">
        <v>12</v>
      </c>
      <c r="E103" s="7" t="s">
        <v>9</v>
      </c>
      <c r="F103" s="7" t="s">
        <v>26</v>
      </c>
      <c r="G103" s="8" t="s">
        <v>30</v>
      </c>
      <c r="H103" s="8" t="s">
        <v>30</v>
      </c>
      <c r="I103" s="8" t="str">
        <f t="shared" si="7"/>
        <v>NA</v>
      </c>
    </row>
    <row r="104" spans="1:10" x14ac:dyDescent="0.25">
      <c r="A104">
        <v>1</v>
      </c>
      <c r="B104" s="5">
        <v>0.36921296296296297</v>
      </c>
      <c r="D104" s="2" t="s">
        <v>12</v>
      </c>
      <c r="E104" s="7" t="s">
        <v>16</v>
      </c>
      <c r="F104" s="7" t="s">
        <v>27</v>
      </c>
      <c r="H104" s="8" t="str">
        <f t="shared" si="6"/>
        <v/>
      </c>
      <c r="I104" s="8" t="str">
        <f t="shared" si="7"/>
        <v/>
      </c>
    </row>
    <row r="105" spans="1:10" x14ac:dyDescent="0.25">
      <c r="A105">
        <v>1</v>
      </c>
      <c r="B105" s="5">
        <v>0.36937500000000001</v>
      </c>
      <c r="D105" s="2" t="s">
        <v>12</v>
      </c>
      <c r="E105" s="7" t="s">
        <v>16</v>
      </c>
      <c r="F105" s="7" t="s">
        <v>27</v>
      </c>
      <c r="H105" s="8" t="str">
        <f t="shared" si="6"/>
        <v/>
      </c>
      <c r="I105" s="8" t="str">
        <f t="shared" si="7"/>
        <v/>
      </c>
    </row>
    <row r="106" spans="1:10" x14ac:dyDescent="0.25">
      <c r="A106">
        <v>1</v>
      </c>
      <c r="B106" s="5">
        <v>0.36978009259259265</v>
      </c>
      <c r="D106" s="2" t="s">
        <v>12</v>
      </c>
      <c r="E106" s="7" t="s">
        <v>24</v>
      </c>
      <c r="F106" s="7" t="s">
        <v>9</v>
      </c>
      <c r="H106" s="8" t="str">
        <f t="shared" si="6"/>
        <v/>
      </c>
      <c r="I106" s="8" t="str">
        <f t="shared" si="7"/>
        <v/>
      </c>
    </row>
    <row r="107" spans="1:10" x14ac:dyDescent="0.25">
      <c r="A107">
        <v>1</v>
      </c>
      <c r="B107" s="5">
        <v>0.37071759259259257</v>
      </c>
      <c r="D107" s="2" t="s">
        <v>12</v>
      </c>
      <c r="E107" s="7" t="s">
        <v>42</v>
      </c>
      <c r="F107" s="7" t="s">
        <v>46</v>
      </c>
      <c r="G107" s="8" t="s">
        <v>30</v>
      </c>
      <c r="H107" s="8" t="s">
        <v>30</v>
      </c>
      <c r="I107" s="8" t="str">
        <f t="shared" si="7"/>
        <v>NA</v>
      </c>
    </row>
    <row r="108" spans="1:10" x14ac:dyDescent="0.25">
      <c r="A108">
        <v>1</v>
      </c>
      <c r="B108" s="5">
        <v>0.37099537037037034</v>
      </c>
      <c r="D108" s="2" t="s">
        <v>12</v>
      </c>
      <c r="E108" s="7" t="s">
        <v>25</v>
      </c>
      <c r="F108" s="7" t="s">
        <v>20</v>
      </c>
      <c r="G108" s="8" t="s">
        <v>15</v>
      </c>
      <c r="H108" s="8" t="str">
        <f t="shared" si="6"/>
        <v>NA</v>
      </c>
      <c r="I108" s="8" t="s">
        <v>30</v>
      </c>
    </row>
    <row r="109" spans="1:10" x14ac:dyDescent="0.25">
      <c r="A109">
        <v>1</v>
      </c>
      <c r="B109" s="5">
        <v>0.37567129629629631</v>
      </c>
      <c r="D109" s="2" t="s">
        <v>12</v>
      </c>
      <c r="E109" s="7" t="s">
        <v>25</v>
      </c>
      <c r="F109" s="7" t="s">
        <v>20</v>
      </c>
      <c r="G109" s="8" t="s">
        <v>15</v>
      </c>
      <c r="H109" s="8" t="str">
        <f t="shared" si="6"/>
        <v>NA</v>
      </c>
      <c r="I109" s="8" t="s">
        <v>30</v>
      </c>
      <c r="J109" s="20" t="s">
        <v>54</v>
      </c>
    </row>
    <row r="110" spans="1:10" x14ac:dyDescent="0.25">
      <c r="A110">
        <v>1</v>
      </c>
      <c r="B110" s="5">
        <v>0.37603009259259257</v>
      </c>
      <c r="D110" s="2" t="s">
        <v>12</v>
      </c>
      <c r="E110" s="7" t="s">
        <v>9</v>
      </c>
      <c r="F110" s="7" t="s">
        <v>27</v>
      </c>
      <c r="H110" s="8" t="str">
        <f t="shared" si="6"/>
        <v/>
      </c>
      <c r="I110" s="8" t="str">
        <f t="shared" si="7"/>
        <v/>
      </c>
    </row>
    <row r="111" spans="1:10" x14ac:dyDescent="0.25">
      <c r="A111">
        <v>1</v>
      </c>
      <c r="B111" s="5">
        <v>0.37665509259259261</v>
      </c>
      <c r="D111" s="2" t="s">
        <v>21</v>
      </c>
      <c r="E111" s="7" t="s">
        <v>32</v>
      </c>
      <c r="F111" s="7" t="s">
        <v>47</v>
      </c>
      <c r="G111" s="8" t="s">
        <v>15</v>
      </c>
      <c r="H111" s="8" t="str">
        <f t="shared" si="6"/>
        <v>NA</v>
      </c>
      <c r="I111" s="8" t="s">
        <v>15</v>
      </c>
    </row>
    <row r="112" spans="1:10" x14ac:dyDescent="0.25">
      <c r="A112">
        <v>1</v>
      </c>
      <c r="B112" s="5">
        <v>0.37679398148148152</v>
      </c>
      <c r="D112" s="2" t="s">
        <v>12</v>
      </c>
      <c r="E112" s="7" t="s">
        <v>25</v>
      </c>
      <c r="F112" s="7" t="s">
        <v>20</v>
      </c>
      <c r="G112" s="8" t="s">
        <v>15</v>
      </c>
      <c r="H112" s="8" t="s">
        <v>31</v>
      </c>
      <c r="I112" s="8" t="s">
        <v>30</v>
      </c>
      <c r="J112" s="20" t="s">
        <v>54</v>
      </c>
    </row>
    <row r="113" spans="1:10" x14ac:dyDescent="0.25">
      <c r="A113">
        <v>1</v>
      </c>
      <c r="B113" s="5">
        <v>0.37766203703703699</v>
      </c>
      <c r="D113" s="2" t="s">
        <v>12</v>
      </c>
      <c r="E113" s="7" t="s">
        <v>25</v>
      </c>
      <c r="F113" s="7" t="s">
        <v>20</v>
      </c>
      <c r="G113" s="8" t="s">
        <v>15</v>
      </c>
      <c r="H113" s="8" t="str">
        <f t="shared" si="6"/>
        <v>NA</v>
      </c>
      <c r="I113" s="8" t="s">
        <v>30</v>
      </c>
      <c r="J113" s="20" t="s">
        <v>54</v>
      </c>
    </row>
    <row r="114" spans="1:10" x14ac:dyDescent="0.25">
      <c r="A114">
        <v>1</v>
      </c>
      <c r="B114" s="11">
        <v>0.37847222222222227</v>
      </c>
      <c r="D114" s="2" t="s">
        <v>12</v>
      </c>
      <c r="E114" s="7" t="s">
        <v>25</v>
      </c>
      <c r="F114" s="7" t="s">
        <v>32</v>
      </c>
      <c r="H114" s="8" t="str">
        <f t="shared" si="6"/>
        <v/>
      </c>
      <c r="I114" s="8" t="str">
        <f t="shared" si="7"/>
        <v/>
      </c>
      <c r="J114" t="s">
        <v>48</v>
      </c>
    </row>
    <row r="115" spans="1:10" x14ac:dyDescent="0.25">
      <c r="A115">
        <v>1</v>
      </c>
      <c r="B115" s="5">
        <v>0.37906250000000002</v>
      </c>
      <c r="D115" s="2" t="s">
        <v>12</v>
      </c>
      <c r="E115" s="7" t="s">
        <v>24</v>
      </c>
      <c r="F115" s="7" t="s">
        <v>32</v>
      </c>
      <c r="H115" s="8" t="str">
        <f t="shared" si="6"/>
        <v/>
      </c>
      <c r="I115" s="8" t="str">
        <f t="shared" si="7"/>
        <v/>
      </c>
    </row>
    <row r="116" spans="1:10" x14ac:dyDescent="0.25">
      <c r="A116">
        <v>1</v>
      </c>
      <c r="B116" s="5">
        <v>0.37917824074074075</v>
      </c>
      <c r="D116" s="2" t="s">
        <v>21</v>
      </c>
      <c r="E116" s="7" t="s">
        <v>42</v>
      </c>
      <c r="F116" s="7" t="s">
        <v>49</v>
      </c>
      <c r="G116" s="8" t="s">
        <v>15</v>
      </c>
      <c r="H116" s="8" t="str">
        <f t="shared" si="6"/>
        <v>NA</v>
      </c>
      <c r="I116" s="8" t="s">
        <v>15</v>
      </c>
    </row>
    <row r="117" spans="1:10" x14ac:dyDescent="0.25">
      <c r="A117">
        <v>1</v>
      </c>
      <c r="B117" s="5">
        <v>0.38021990740740735</v>
      </c>
      <c r="D117" s="2" t="s">
        <v>12</v>
      </c>
      <c r="E117" s="7" t="s">
        <v>27</v>
      </c>
      <c r="F117" s="7" t="s">
        <v>47</v>
      </c>
      <c r="G117" s="8" t="s">
        <v>30</v>
      </c>
      <c r="H117" s="8" t="s">
        <v>30</v>
      </c>
      <c r="I117" s="8" t="str">
        <f t="shared" si="7"/>
        <v>NA</v>
      </c>
    </row>
    <row r="118" spans="1:10" x14ac:dyDescent="0.25">
      <c r="A118">
        <v>1</v>
      </c>
      <c r="B118" s="5">
        <v>0.38119212962962962</v>
      </c>
      <c r="D118" s="2" t="s">
        <v>12</v>
      </c>
      <c r="E118" s="7" t="s">
        <v>42</v>
      </c>
      <c r="F118" s="7" t="s">
        <v>33</v>
      </c>
      <c r="G118" s="8" t="s">
        <v>15</v>
      </c>
      <c r="H118" s="8" t="str">
        <f t="shared" si="6"/>
        <v>NA</v>
      </c>
      <c r="I118" s="8" t="s">
        <v>30</v>
      </c>
    </row>
    <row r="119" spans="1:10" x14ac:dyDescent="0.25">
      <c r="A119">
        <v>1</v>
      </c>
      <c r="B119" s="5">
        <v>0.38134259259259262</v>
      </c>
      <c r="D119" s="2" t="s">
        <v>12</v>
      </c>
      <c r="E119" s="7" t="s">
        <v>25</v>
      </c>
      <c r="F119" s="7" t="s">
        <v>20</v>
      </c>
      <c r="G119" s="8" t="s">
        <v>15</v>
      </c>
      <c r="H119" s="8" t="str">
        <f t="shared" si="6"/>
        <v>NA</v>
      </c>
      <c r="I119" s="8" t="s">
        <v>30</v>
      </c>
      <c r="J119" s="20" t="s">
        <v>53</v>
      </c>
    </row>
    <row r="120" spans="1:10" x14ac:dyDescent="0.25">
      <c r="A120">
        <v>1</v>
      </c>
      <c r="B120" s="5">
        <v>0.38214120370370369</v>
      </c>
      <c r="D120" s="2" t="s">
        <v>12</v>
      </c>
      <c r="E120" s="7" t="s">
        <v>27</v>
      </c>
      <c r="F120" s="7" t="s">
        <v>20</v>
      </c>
      <c r="G120" s="8" t="s">
        <v>15</v>
      </c>
      <c r="H120" s="8" t="str">
        <f t="shared" si="6"/>
        <v>NA</v>
      </c>
      <c r="I120" s="8" t="s">
        <v>30</v>
      </c>
    </row>
    <row r="121" spans="1:10" x14ac:dyDescent="0.25">
      <c r="A121">
        <v>1</v>
      </c>
      <c r="B121" s="5">
        <v>0.38263888888888892</v>
      </c>
      <c r="D121" s="2" t="s">
        <v>21</v>
      </c>
      <c r="E121" s="7" t="s">
        <v>24</v>
      </c>
      <c r="F121" s="7" t="s">
        <v>47</v>
      </c>
      <c r="G121" s="8" t="s">
        <v>15</v>
      </c>
      <c r="H121" s="8" t="str">
        <f t="shared" si="6"/>
        <v>NA</v>
      </c>
      <c r="I121" s="8" t="s">
        <v>15</v>
      </c>
    </row>
    <row r="122" spans="1:10" x14ac:dyDescent="0.25">
      <c r="A122">
        <v>1</v>
      </c>
      <c r="B122" s="5">
        <v>0.38321759259259264</v>
      </c>
      <c r="D122" s="2" t="s">
        <v>12</v>
      </c>
      <c r="E122" s="7" t="s">
        <v>25</v>
      </c>
      <c r="F122" s="7" t="s">
        <v>24</v>
      </c>
      <c r="H122" s="8" t="str">
        <f t="shared" si="6"/>
        <v/>
      </c>
      <c r="I122" s="8" t="str">
        <f t="shared" si="7"/>
        <v/>
      </c>
      <c r="J122" t="s">
        <v>50</v>
      </c>
    </row>
    <row r="123" spans="1:10" x14ac:dyDescent="0.25">
      <c r="A123">
        <v>1</v>
      </c>
      <c r="B123" s="5">
        <v>0.38444444444444442</v>
      </c>
      <c r="D123" s="2" t="s">
        <v>12</v>
      </c>
      <c r="E123" s="7" t="s">
        <v>25</v>
      </c>
      <c r="F123" s="7" t="s">
        <v>9</v>
      </c>
      <c r="H123" s="8" t="str">
        <f t="shared" si="6"/>
        <v/>
      </c>
      <c r="I123" s="8" t="str">
        <f t="shared" si="7"/>
        <v/>
      </c>
    </row>
    <row r="124" spans="1:10" x14ac:dyDescent="0.25">
      <c r="A124">
        <v>1</v>
      </c>
      <c r="B124" s="5">
        <v>0.38473379629629628</v>
      </c>
      <c r="D124" s="2" t="s">
        <v>12</v>
      </c>
      <c r="E124" s="7" t="s">
        <v>42</v>
      </c>
      <c r="F124" s="7" t="s">
        <v>39</v>
      </c>
      <c r="G124" s="8" t="s">
        <v>30</v>
      </c>
      <c r="H124" s="8" t="s">
        <v>30</v>
      </c>
      <c r="I124" s="8" t="str">
        <f t="shared" si="7"/>
        <v>NA</v>
      </c>
    </row>
    <row r="125" spans="1:10" x14ac:dyDescent="0.25">
      <c r="A125">
        <v>1</v>
      </c>
      <c r="B125" s="5">
        <v>0.38640046296296293</v>
      </c>
      <c r="D125" s="2" t="s">
        <v>12</v>
      </c>
      <c r="E125" s="7" t="s">
        <v>24</v>
      </c>
      <c r="F125" s="7" t="s">
        <v>20</v>
      </c>
      <c r="G125" s="8" t="s">
        <v>30</v>
      </c>
      <c r="H125" s="8" t="s">
        <v>30</v>
      </c>
      <c r="I125" s="8" t="str">
        <f t="shared" si="7"/>
        <v>NA</v>
      </c>
    </row>
    <row r="126" spans="1:10" x14ac:dyDescent="0.25">
      <c r="A126">
        <v>1</v>
      </c>
      <c r="B126" s="5">
        <v>0.38674768518518521</v>
      </c>
      <c r="D126" s="2" t="s">
        <v>12</v>
      </c>
      <c r="E126" s="7" t="s">
        <v>42</v>
      </c>
      <c r="F126" s="7" t="s">
        <v>49</v>
      </c>
      <c r="G126" s="8" t="s">
        <v>30</v>
      </c>
      <c r="H126" s="8" t="s">
        <v>30</v>
      </c>
      <c r="I126" s="8" t="str">
        <f t="shared" si="7"/>
        <v>NA</v>
      </c>
    </row>
    <row r="127" spans="1:10" x14ac:dyDescent="0.25">
      <c r="A127">
        <v>1</v>
      </c>
      <c r="B127" s="5">
        <v>0.38778935185185182</v>
      </c>
      <c r="D127" s="2" t="s">
        <v>12</v>
      </c>
      <c r="E127" s="7" t="s">
        <v>32</v>
      </c>
      <c r="F127" s="7" t="s">
        <v>24</v>
      </c>
      <c r="H127" s="8" t="str">
        <f t="shared" si="6"/>
        <v/>
      </c>
      <c r="I127" s="8" t="str">
        <f t="shared" si="7"/>
        <v/>
      </c>
    </row>
    <row r="128" spans="1:10" x14ac:dyDescent="0.25">
      <c r="A128">
        <v>1</v>
      </c>
      <c r="B128" s="5">
        <v>0.38787037037037037</v>
      </c>
      <c r="D128" s="2" t="s">
        <v>12</v>
      </c>
      <c r="E128" s="7" t="s">
        <v>9</v>
      </c>
      <c r="F128" s="7" t="s">
        <v>47</v>
      </c>
      <c r="G128" s="8" t="s">
        <v>30</v>
      </c>
      <c r="H128" s="8" t="s">
        <v>30</v>
      </c>
      <c r="I128" s="8" t="str">
        <f t="shared" si="7"/>
        <v>NA</v>
      </c>
    </row>
    <row r="129" spans="1:10" x14ac:dyDescent="0.25">
      <c r="A129">
        <v>1</v>
      </c>
      <c r="B129" s="5">
        <v>0.38837962962962963</v>
      </c>
      <c r="D129" s="2" t="s">
        <v>12</v>
      </c>
      <c r="E129" s="7" t="s">
        <v>22</v>
      </c>
      <c r="F129" s="7" t="s">
        <v>49</v>
      </c>
      <c r="G129" s="8" t="s">
        <v>15</v>
      </c>
      <c r="H129" s="8" t="str">
        <f t="shared" si="6"/>
        <v>NA</v>
      </c>
      <c r="I129" s="8" t="s">
        <v>30</v>
      </c>
    </row>
    <row r="130" spans="1:10" x14ac:dyDescent="0.25">
      <c r="A130">
        <v>1</v>
      </c>
      <c r="B130" s="11">
        <f>C13</f>
        <v>0.3369328703703704</v>
      </c>
      <c r="D130" s="2" t="s">
        <v>12</v>
      </c>
      <c r="E130" s="7" t="s">
        <v>24</v>
      </c>
      <c r="F130" s="7" t="s">
        <v>9</v>
      </c>
      <c r="H130" s="8" t="str">
        <f t="shared" si="6"/>
        <v/>
      </c>
      <c r="I130" s="8" t="str">
        <f t="shared" si="7"/>
        <v/>
      </c>
    </row>
    <row r="131" spans="1:10" x14ac:dyDescent="0.25">
      <c r="A131">
        <v>1</v>
      </c>
      <c r="B131" s="5">
        <v>0.3893287037037037</v>
      </c>
      <c r="D131" s="2" t="s">
        <v>12</v>
      </c>
      <c r="E131" s="7" t="s">
        <v>9</v>
      </c>
      <c r="F131" s="7" t="s">
        <v>27</v>
      </c>
      <c r="H131" s="8" t="str">
        <f t="shared" ref="H131:I192" si="8">IF(G131 = "n", "NA", "")</f>
        <v/>
      </c>
      <c r="I131" s="8" t="str">
        <f t="shared" si="7"/>
        <v/>
      </c>
    </row>
    <row r="132" spans="1:10" x14ac:dyDescent="0.25">
      <c r="A132">
        <v>1</v>
      </c>
      <c r="B132" s="5">
        <v>0.3893287037037037</v>
      </c>
      <c r="D132" s="2" t="s">
        <v>12</v>
      </c>
      <c r="E132" s="7" t="s">
        <v>25</v>
      </c>
      <c r="F132" s="7" t="s">
        <v>27</v>
      </c>
      <c r="H132" s="8" t="str">
        <f t="shared" si="8"/>
        <v/>
      </c>
      <c r="I132" s="8" t="str">
        <f t="shared" si="7"/>
        <v/>
      </c>
    </row>
    <row r="133" spans="1:10" x14ac:dyDescent="0.25">
      <c r="A133">
        <v>1</v>
      </c>
      <c r="B133" s="5">
        <v>0.38969907407407406</v>
      </c>
      <c r="D133" s="2" t="s">
        <v>12</v>
      </c>
      <c r="E133" s="7" t="s">
        <v>19</v>
      </c>
      <c r="F133" s="7" t="s">
        <v>13</v>
      </c>
      <c r="H133" s="8" t="str">
        <f t="shared" si="8"/>
        <v/>
      </c>
      <c r="I133" s="8" t="str">
        <f t="shared" si="7"/>
        <v/>
      </c>
    </row>
    <row r="134" spans="1:10" x14ac:dyDescent="0.25">
      <c r="A134">
        <v>1</v>
      </c>
      <c r="B134" s="5">
        <v>0.3900925925925926</v>
      </c>
      <c r="D134" s="2" t="s">
        <v>12</v>
      </c>
      <c r="E134" s="7" t="s">
        <v>42</v>
      </c>
      <c r="F134" s="7" t="s">
        <v>26</v>
      </c>
      <c r="G134" s="8" t="s">
        <v>30</v>
      </c>
      <c r="H134" s="8" t="s">
        <v>30</v>
      </c>
      <c r="I134" s="8" t="str">
        <f t="shared" si="7"/>
        <v>NA</v>
      </c>
    </row>
    <row r="135" spans="1:10" x14ac:dyDescent="0.25">
      <c r="A135">
        <v>1</v>
      </c>
      <c r="B135" s="5">
        <v>0.39111111111111113</v>
      </c>
      <c r="D135" s="2" t="s">
        <v>12</v>
      </c>
      <c r="E135" s="7" t="s">
        <v>42</v>
      </c>
      <c r="F135" s="7" t="s">
        <v>26</v>
      </c>
      <c r="G135" s="8" t="s">
        <v>30</v>
      </c>
      <c r="H135" s="8" t="s">
        <v>30</v>
      </c>
      <c r="I135" s="8" t="str">
        <f t="shared" ref="I135:I140" si="9">IF(H135 = "y", "NA", "")</f>
        <v>NA</v>
      </c>
    </row>
    <row r="136" spans="1:10" x14ac:dyDescent="0.25">
      <c r="A136">
        <v>1</v>
      </c>
      <c r="B136" s="5">
        <v>0.3913773148148148</v>
      </c>
      <c r="D136" s="2" t="s">
        <v>12</v>
      </c>
      <c r="E136" s="7" t="s">
        <v>22</v>
      </c>
      <c r="F136" s="7" t="s">
        <v>42</v>
      </c>
      <c r="H136" s="8" t="str">
        <f t="shared" si="8"/>
        <v/>
      </c>
      <c r="I136" s="8" t="str">
        <f t="shared" si="9"/>
        <v/>
      </c>
    </row>
    <row r="137" spans="1:10" x14ac:dyDescent="0.25">
      <c r="A137">
        <v>1</v>
      </c>
      <c r="B137" s="5">
        <v>0.39152777777777775</v>
      </c>
      <c r="D137" s="2" t="s">
        <v>12</v>
      </c>
      <c r="E137" s="7" t="s">
        <v>27</v>
      </c>
      <c r="F137" s="7" t="s">
        <v>26</v>
      </c>
      <c r="G137" s="8" t="s">
        <v>30</v>
      </c>
      <c r="H137" s="8" t="s">
        <v>30</v>
      </c>
      <c r="I137" s="8" t="str">
        <f t="shared" si="9"/>
        <v>NA</v>
      </c>
    </row>
    <row r="138" spans="1:10" x14ac:dyDescent="0.25">
      <c r="A138">
        <v>1</v>
      </c>
      <c r="B138" s="5">
        <v>0.39175925925925931</v>
      </c>
      <c r="D138" s="2" t="s">
        <v>12</v>
      </c>
      <c r="E138" s="7" t="s">
        <v>25</v>
      </c>
      <c r="F138" s="7" t="s">
        <v>39</v>
      </c>
      <c r="G138" s="8" t="s">
        <v>15</v>
      </c>
      <c r="H138" s="8" t="str">
        <f t="shared" si="8"/>
        <v>NA</v>
      </c>
      <c r="I138" s="8" t="s">
        <v>30</v>
      </c>
      <c r="J138" s="20" t="s">
        <v>53</v>
      </c>
    </row>
    <row r="139" spans="1:10" x14ac:dyDescent="0.25">
      <c r="A139">
        <v>1</v>
      </c>
      <c r="B139" s="5">
        <v>0.39232638888888888</v>
      </c>
      <c r="D139" s="2" t="s">
        <v>12</v>
      </c>
      <c r="E139" s="7" t="s">
        <v>27</v>
      </c>
      <c r="F139" s="7" t="s">
        <v>39</v>
      </c>
      <c r="G139" s="8" t="s">
        <v>30</v>
      </c>
      <c r="H139" s="8" t="s">
        <v>30</v>
      </c>
      <c r="I139" s="8" t="str">
        <f t="shared" si="9"/>
        <v>NA</v>
      </c>
    </row>
    <row r="140" spans="1:10" x14ac:dyDescent="0.25">
      <c r="A140">
        <v>1</v>
      </c>
      <c r="B140" s="5">
        <v>0.39269675925925923</v>
      </c>
      <c r="D140" s="2" t="s">
        <v>12</v>
      </c>
      <c r="E140" s="7" t="s">
        <v>27</v>
      </c>
      <c r="F140" s="7" t="s">
        <v>25</v>
      </c>
      <c r="H140" s="8" t="str">
        <f t="shared" si="8"/>
        <v/>
      </c>
      <c r="I140" s="8" t="str">
        <f t="shared" si="9"/>
        <v/>
      </c>
    </row>
    <row r="141" spans="1:10" x14ac:dyDescent="0.25">
      <c r="A141">
        <v>1</v>
      </c>
      <c r="B141" s="5">
        <v>0.3929050925925926</v>
      </c>
      <c r="D141" s="2" t="s">
        <v>12</v>
      </c>
      <c r="E141" s="7" t="s">
        <v>27</v>
      </c>
      <c r="F141" s="7" t="s">
        <v>32</v>
      </c>
      <c r="H141" s="8" t="str">
        <f t="shared" si="8"/>
        <v/>
      </c>
      <c r="I141" s="8" t="str">
        <f t="shared" si="8"/>
        <v/>
      </c>
    </row>
    <row r="142" spans="1:10" x14ac:dyDescent="0.25">
      <c r="A142">
        <v>1</v>
      </c>
      <c r="B142" s="5">
        <v>0.39291666666666664</v>
      </c>
      <c r="D142" s="2" t="s">
        <v>12</v>
      </c>
      <c r="E142" s="7" t="s">
        <v>25</v>
      </c>
      <c r="F142" s="7" t="s">
        <v>32</v>
      </c>
      <c r="H142" s="8" t="str">
        <f t="shared" si="8"/>
        <v/>
      </c>
      <c r="I142" s="8" t="str">
        <f t="shared" si="8"/>
        <v/>
      </c>
    </row>
    <row r="143" spans="1:10" x14ac:dyDescent="0.25">
      <c r="A143">
        <v>1</v>
      </c>
      <c r="B143" s="5">
        <v>0.39377314814814812</v>
      </c>
      <c r="D143" s="2" t="s">
        <v>12</v>
      </c>
      <c r="E143" s="7" t="s">
        <v>27</v>
      </c>
      <c r="F143" s="7" t="s">
        <v>33</v>
      </c>
      <c r="G143" s="8" t="s">
        <v>30</v>
      </c>
      <c r="H143" s="8" t="s">
        <v>30</v>
      </c>
      <c r="I143" s="8" t="str">
        <f>IF(H143 = "y", "NA", "")</f>
        <v>NA</v>
      </c>
    </row>
    <row r="144" spans="1:10" x14ac:dyDescent="0.25">
      <c r="A144">
        <v>1</v>
      </c>
      <c r="B144" s="5">
        <v>0.39435185185185184</v>
      </c>
      <c r="D144" s="2" t="s">
        <v>12</v>
      </c>
      <c r="E144" s="7" t="s">
        <v>27</v>
      </c>
      <c r="F144" s="7" t="s">
        <v>39</v>
      </c>
      <c r="G144" s="8" t="s">
        <v>15</v>
      </c>
      <c r="H144" s="8" t="str">
        <f t="shared" si="8"/>
        <v>NA</v>
      </c>
      <c r="I144" s="8" t="s">
        <v>30</v>
      </c>
    </row>
    <row r="145" spans="1:10" x14ac:dyDescent="0.25">
      <c r="A145">
        <v>1</v>
      </c>
      <c r="B145" s="5">
        <v>0.39521990740740742</v>
      </c>
      <c r="D145" s="2" t="s">
        <v>12</v>
      </c>
      <c r="E145" s="7" t="s">
        <v>27</v>
      </c>
      <c r="F145" s="7" t="s">
        <v>38</v>
      </c>
      <c r="G145" s="8" t="s">
        <v>30</v>
      </c>
      <c r="H145" s="8" t="s">
        <v>15</v>
      </c>
      <c r="I145" s="8" t="s">
        <v>30</v>
      </c>
    </row>
    <row r="146" spans="1:10" x14ac:dyDescent="0.25">
      <c r="A146">
        <v>1</v>
      </c>
      <c r="B146" s="5">
        <v>0.39578703703703705</v>
      </c>
      <c r="D146" s="2" t="s">
        <v>12</v>
      </c>
      <c r="E146" s="7" t="s">
        <v>25</v>
      </c>
      <c r="F146" s="7" t="s">
        <v>27</v>
      </c>
      <c r="H146" s="8" t="str">
        <f t="shared" si="8"/>
        <v/>
      </c>
      <c r="I146" s="8" t="str">
        <f t="shared" ref="I146:I205" si="10">IF(H146 = "y", "NA", "")</f>
        <v/>
      </c>
    </row>
    <row r="147" spans="1:10" x14ac:dyDescent="0.25">
      <c r="A147">
        <v>1</v>
      </c>
      <c r="B147" s="5">
        <v>0.3958564814814815</v>
      </c>
      <c r="D147" s="2" t="s">
        <v>12</v>
      </c>
      <c r="E147" s="7" t="s">
        <v>24</v>
      </c>
      <c r="F147" s="7" t="s">
        <v>27</v>
      </c>
      <c r="H147" s="8" t="str">
        <f t="shared" si="8"/>
        <v/>
      </c>
      <c r="I147" s="8" t="str">
        <f t="shared" si="10"/>
        <v/>
      </c>
    </row>
    <row r="148" spans="1:10" x14ac:dyDescent="0.25">
      <c r="A148">
        <v>1</v>
      </c>
      <c r="B148" s="5">
        <v>0.39711805555555557</v>
      </c>
      <c r="D148" s="2" t="s">
        <v>12</v>
      </c>
      <c r="E148" s="7" t="s">
        <v>25</v>
      </c>
      <c r="F148" s="7" t="s">
        <v>38</v>
      </c>
      <c r="G148" s="8" t="s">
        <v>15</v>
      </c>
      <c r="H148" s="8" t="str">
        <f t="shared" si="8"/>
        <v>NA</v>
      </c>
      <c r="I148" s="8" t="s">
        <v>30</v>
      </c>
      <c r="J148" s="20" t="s">
        <v>53</v>
      </c>
    </row>
    <row r="149" spans="1:10" x14ac:dyDescent="0.25">
      <c r="A149">
        <v>1</v>
      </c>
      <c r="B149" s="5">
        <v>0.3984375</v>
      </c>
      <c r="D149" s="2" t="s">
        <v>12</v>
      </c>
      <c r="E149" s="7" t="s">
        <v>25</v>
      </c>
      <c r="F149" s="7" t="s">
        <v>38</v>
      </c>
      <c r="G149" s="8" t="s">
        <v>15</v>
      </c>
      <c r="H149" s="8" t="str">
        <f t="shared" si="8"/>
        <v>NA</v>
      </c>
      <c r="I149" s="8" t="s">
        <v>30</v>
      </c>
      <c r="J149" s="20" t="s">
        <v>51</v>
      </c>
    </row>
    <row r="150" spans="1:10" x14ac:dyDescent="0.25">
      <c r="A150">
        <v>1</v>
      </c>
      <c r="B150" s="5">
        <v>0.39869212962962958</v>
      </c>
      <c r="D150" s="2" t="s">
        <v>12</v>
      </c>
      <c r="E150" s="7" t="s">
        <v>25</v>
      </c>
      <c r="F150" s="7" t="s">
        <v>47</v>
      </c>
      <c r="G150" s="8" t="s">
        <v>15</v>
      </c>
      <c r="H150" s="8" t="str">
        <f t="shared" si="8"/>
        <v>NA</v>
      </c>
      <c r="I150" s="8" t="s">
        <v>30</v>
      </c>
      <c r="J150" s="20" t="s">
        <v>52</v>
      </c>
    </row>
    <row r="151" spans="1:10" x14ac:dyDescent="0.25">
      <c r="A151">
        <v>1</v>
      </c>
      <c r="B151" s="5">
        <v>0.39950231481481485</v>
      </c>
      <c r="D151" s="2" t="s">
        <v>12</v>
      </c>
      <c r="E151" s="7" t="s">
        <v>13</v>
      </c>
      <c r="F151" s="7" t="s">
        <v>19</v>
      </c>
      <c r="H151" s="8" t="str">
        <f t="shared" si="8"/>
        <v/>
      </c>
      <c r="I151" s="8" t="str">
        <f t="shared" si="10"/>
        <v/>
      </c>
    </row>
    <row r="152" spans="1:10" x14ac:dyDescent="0.25">
      <c r="A152">
        <v>1</v>
      </c>
      <c r="B152" s="5">
        <v>0.39962962962962961</v>
      </c>
      <c r="D152" s="2" t="s">
        <v>21</v>
      </c>
      <c r="E152" s="7" t="s">
        <v>24</v>
      </c>
      <c r="F152" s="7" t="s">
        <v>20</v>
      </c>
      <c r="G152" s="8" t="s">
        <v>15</v>
      </c>
      <c r="H152" s="8" t="str">
        <f t="shared" si="8"/>
        <v>NA</v>
      </c>
      <c r="I152" s="8" t="s">
        <v>15</v>
      </c>
    </row>
    <row r="153" spans="1:10" x14ac:dyDescent="0.25">
      <c r="A153">
        <v>1</v>
      </c>
      <c r="B153" s="5">
        <v>0.40045138888888893</v>
      </c>
      <c r="D153" s="2" t="s">
        <v>12</v>
      </c>
      <c r="E153" s="7" t="s">
        <v>25</v>
      </c>
      <c r="F153" s="7" t="s">
        <v>47</v>
      </c>
      <c r="G153" s="8" t="s">
        <v>30</v>
      </c>
      <c r="H153" s="8" t="s">
        <v>15</v>
      </c>
      <c r="I153" s="8" t="s">
        <v>30</v>
      </c>
      <c r="J153" s="20" t="s">
        <v>53</v>
      </c>
    </row>
    <row r="154" spans="1:10" x14ac:dyDescent="0.25">
      <c r="A154">
        <v>1</v>
      </c>
      <c r="B154" s="5">
        <v>0.40120370370370373</v>
      </c>
      <c r="D154" s="2" t="s">
        <v>12</v>
      </c>
      <c r="E154" s="7" t="s">
        <v>27</v>
      </c>
      <c r="F154" s="7" t="s">
        <v>33</v>
      </c>
      <c r="G154" s="8" t="s">
        <v>30</v>
      </c>
      <c r="H154" s="8" t="s">
        <v>15</v>
      </c>
      <c r="I154" s="8" t="s">
        <v>30</v>
      </c>
    </row>
    <row r="155" spans="1:10" x14ac:dyDescent="0.25">
      <c r="A155">
        <v>1</v>
      </c>
      <c r="B155" s="5">
        <v>0.40135416666666668</v>
      </c>
      <c r="D155" s="2" t="s">
        <v>12</v>
      </c>
      <c r="E155" s="7" t="s">
        <v>23</v>
      </c>
      <c r="F155" s="7" t="s">
        <v>16</v>
      </c>
      <c r="H155" s="8" t="str">
        <f t="shared" si="8"/>
        <v/>
      </c>
      <c r="I155" s="8" t="str">
        <f t="shared" si="10"/>
        <v/>
      </c>
    </row>
    <row r="156" spans="1:10" x14ac:dyDescent="0.25">
      <c r="A156">
        <v>1</v>
      </c>
      <c r="B156" s="5">
        <v>0.40179398148148149</v>
      </c>
      <c r="D156" s="2" t="s">
        <v>12</v>
      </c>
      <c r="E156" s="7" t="s">
        <v>25</v>
      </c>
      <c r="F156" s="7" t="s">
        <v>33</v>
      </c>
      <c r="G156" s="8" t="s">
        <v>30</v>
      </c>
      <c r="H156" s="8" t="s">
        <v>15</v>
      </c>
      <c r="I156" s="8" t="s">
        <v>30</v>
      </c>
      <c r="J156" s="20" t="s">
        <v>53</v>
      </c>
    </row>
    <row r="157" spans="1:10" x14ac:dyDescent="0.25">
      <c r="A157">
        <v>1</v>
      </c>
      <c r="B157" s="5">
        <v>0.40416666666666662</v>
      </c>
      <c r="D157" s="2" t="s">
        <v>12</v>
      </c>
      <c r="E157" s="7" t="s">
        <v>25</v>
      </c>
      <c r="F157" s="7" t="s">
        <v>33</v>
      </c>
      <c r="G157" s="8" t="s">
        <v>15</v>
      </c>
      <c r="H157" s="8" t="str">
        <f t="shared" si="8"/>
        <v>NA</v>
      </c>
      <c r="I157" s="8" t="s">
        <v>30</v>
      </c>
      <c r="J157" s="20" t="s">
        <v>53</v>
      </c>
    </row>
    <row r="158" spans="1:10" x14ac:dyDescent="0.25">
      <c r="A158">
        <v>1</v>
      </c>
      <c r="B158" s="5">
        <v>0.40711805555555558</v>
      </c>
      <c r="D158" s="2" t="s">
        <v>12</v>
      </c>
      <c r="E158" s="7" t="s">
        <v>25</v>
      </c>
      <c r="F158" s="7" t="s">
        <v>33</v>
      </c>
      <c r="G158" s="8" t="s">
        <v>30</v>
      </c>
      <c r="H158" s="8" t="s">
        <v>30</v>
      </c>
      <c r="I158" s="8" t="str">
        <f t="shared" si="10"/>
        <v>NA</v>
      </c>
      <c r="J158" s="20" t="s">
        <v>51</v>
      </c>
    </row>
    <row r="159" spans="1:10" x14ac:dyDescent="0.25">
      <c r="A159">
        <v>1</v>
      </c>
      <c r="B159" s="5">
        <v>0.40839120370370369</v>
      </c>
      <c r="D159" s="2" t="s">
        <v>12</v>
      </c>
      <c r="E159" s="7" t="s">
        <v>25</v>
      </c>
      <c r="F159" s="7" t="s">
        <v>47</v>
      </c>
      <c r="G159" s="8" t="s">
        <v>15</v>
      </c>
      <c r="H159" s="8" t="str">
        <f t="shared" si="8"/>
        <v>NA</v>
      </c>
      <c r="I159" s="8" t="s">
        <v>30</v>
      </c>
      <c r="J159" s="20" t="s">
        <v>53</v>
      </c>
    </row>
    <row r="160" spans="1:10" x14ac:dyDescent="0.25">
      <c r="A160">
        <v>1</v>
      </c>
      <c r="B160" s="5">
        <v>0.40910879629629626</v>
      </c>
      <c r="D160" s="2" t="s">
        <v>12</v>
      </c>
      <c r="E160" s="7" t="s">
        <v>25</v>
      </c>
      <c r="F160" s="7" t="s">
        <v>47</v>
      </c>
      <c r="G160" s="8" t="s">
        <v>30</v>
      </c>
      <c r="H160" s="8" t="s">
        <v>15</v>
      </c>
      <c r="I160" s="8" t="s">
        <v>30</v>
      </c>
      <c r="J160" s="20" t="s">
        <v>53</v>
      </c>
    </row>
    <row r="161" spans="1:10" x14ac:dyDescent="0.25">
      <c r="A161">
        <v>1</v>
      </c>
      <c r="B161" s="5">
        <v>0.41203703703703703</v>
      </c>
      <c r="D161" s="2" t="s">
        <v>12</v>
      </c>
      <c r="E161" s="7" t="s">
        <v>24</v>
      </c>
      <c r="F161" s="7" t="s">
        <v>47</v>
      </c>
      <c r="G161" s="8" t="s">
        <v>30</v>
      </c>
      <c r="H161" s="8" t="s">
        <v>15</v>
      </c>
      <c r="I161" s="8" t="s">
        <v>30</v>
      </c>
    </row>
    <row r="162" spans="1:10" x14ac:dyDescent="0.25">
      <c r="A162">
        <v>1</v>
      </c>
      <c r="B162" s="5">
        <v>0.41239583333333335</v>
      </c>
      <c r="D162" s="2" t="s">
        <v>12</v>
      </c>
      <c r="E162" s="7" t="s">
        <v>25</v>
      </c>
      <c r="F162" s="7" t="s">
        <v>47</v>
      </c>
      <c r="G162" s="8" t="s">
        <v>30</v>
      </c>
      <c r="H162" s="8" t="s">
        <v>30</v>
      </c>
      <c r="I162" s="8" t="str">
        <f t="shared" si="10"/>
        <v>NA</v>
      </c>
      <c r="J162" s="21" t="s">
        <v>51</v>
      </c>
    </row>
    <row r="163" spans="1:10" x14ac:dyDescent="0.25">
      <c r="A163">
        <v>1</v>
      </c>
      <c r="B163" s="5">
        <v>0.41271990740740744</v>
      </c>
      <c r="D163" s="2" t="s">
        <v>12</v>
      </c>
      <c r="E163" s="7" t="s">
        <v>25</v>
      </c>
      <c r="F163" s="7" t="s">
        <v>20</v>
      </c>
      <c r="G163" s="8" t="s">
        <v>15</v>
      </c>
      <c r="H163" s="8" t="str">
        <f t="shared" si="8"/>
        <v>NA</v>
      </c>
      <c r="I163" s="8" t="s">
        <v>30</v>
      </c>
      <c r="J163" s="21" t="s">
        <v>54</v>
      </c>
    </row>
    <row r="164" spans="1:10" x14ac:dyDescent="0.25">
      <c r="A164">
        <v>1</v>
      </c>
      <c r="B164" s="5">
        <v>0.41303240740740743</v>
      </c>
      <c r="D164" s="2" t="s">
        <v>12</v>
      </c>
      <c r="E164" s="7" t="s">
        <v>24</v>
      </c>
      <c r="F164" s="7" t="s">
        <v>38</v>
      </c>
      <c r="G164" s="8" t="s">
        <v>15</v>
      </c>
      <c r="H164" s="8" t="str">
        <f t="shared" si="8"/>
        <v>NA</v>
      </c>
      <c r="I164" s="8" t="s">
        <v>30</v>
      </c>
    </row>
    <row r="165" spans="1:10" x14ac:dyDescent="0.25">
      <c r="A165">
        <v>1</v>
      </c>
      <c r="B165" s="11">
        <v>0.41736111111111113</v>
      </c>
      <c r="D165" s="2" t="s">
        <v>12</v>
      </c>
      <c r="E165" s="7" t="s">
        <v>25</v>
      </c>
      <c r="F165" s="7" t="s">
        <v>33</v>
      </c>
      <c r="G165" s="8" t="s">
        <v>15</v>
      </c>
      <c r="H165" s="8" t="str">
        <f t="shared" si="8"/>
        <v>NA</v>
      </c>
      <c r="I165" s="8" t="s">
        <v>30</v>
      </c>
      <c r="J165" s="21" t="s">
        <v>53</v>
      </c>
    </row>
    <row r="166" spans="1:10" x14ac:dyDescent="0.25">
      <c r="A166">
        <v>1</v>
      </c>
      <c r="B166" s="11">
        <v>0.41805555555555557</v>
      </c>
      <c r="D166" s="2" t="s">
        <v>12</v>
      </c>
      <c r="E166" s="7" t="s">
        <v>27</v>
      </c>
      <c r="F166" s="7" t="s">
        <v>47</v>
      </c>
      <c r="G166" s="8" t="s">
        <v>15</v>
      </c>
      <c r="H166" s="8" t="str">
        <f t="shared" si="8"/>
        <v>NA</v>
      </c>
      <c r="I166" s="8" t="s">
        <v>30</v>
      </c>
    </row>
    <row r="167" spans="1:10" x14ac:dyDescent="0.25">
      <c r="A167">
        <v>1</v>
      </c>
      <c r="B167" s="11">
        <v>0.41805555555555557</v>
      </c>
      <c r="D167" s="2" t="s">
        <v>12</v>
      </c>
      <c r="E167" s="7" t="s">
        <v>25</v>
      </c>
      <c r="F167" s="7" t="s">
        <v>20</v>
      </c>
      <c r="G167" s="8" t="s">
        <v>15</v>
      </c>
      <c r="H167" s="8" t="str">
        <f t="shared" si="8"/>
        <v>NA</v>
      </c>
      <c r="I167" s="8" t="s">
        <v>30</v>
      </c>
      <c r="J167" s="21" t="s">
        <v>53</v>
      </c>
    </row>
    <row r="168" spans="1:10" x14ac:dyDescent="0.25">
      <c r="A168">
        <v>1</v>
      </c>
      <c r="B168" s="11">
        <v>0.41944444444444445</v>
      </c>
      <c r="D168" s="2" t="s">
        <v>12</v>
      </c>
      <c r="E168" s="7" t="s">
        <v>24</v>
      </c>
      <c r="F168" s="7" t="s">
        <v>47</v>
      </c>
      <c r="G168" s="8" t="s">
        <v>15</v>
      </c>
      <c r="H168" s="8" t="str">
        <f t="shared" si="8"/>
        <v>NA</v>
      </c>
      <c r="I168" s="8" t="s">
        <v>30</v>
      </c>
    </row>
    <row r="169" spans="1:10" x14ac:dyDescent="0.25">
      <c r="A169">
        <v>1</v>
      </c>
      <c r="B169" s="5">
        <v>0.42005787037037035</v>
      </c>
      <c r="D169" s="2" t="s">
        <v>12</v>
      </c>
      <c r="E169" s="7" t="s">
        <v>16</v>
      </c>
      <c r="F169" s="7" t="s">
        <v>23</v>
      </c>
      <c r="H169" s="8" t="str">
        <f t="shared" si="8"/>
        <v/>
      </c>
      <c r="I169" s="8" t="str">
        <f t="shared" si="10"/>
        <v/>
      </c>
    </row>
    <row r="170" spans="1:10" x14ac:dyDescent="0.25">
      <c r="A170">
        <v>1</v>
      </c>
      <c r="B170" s="5">
        <v>0.42101851851851851</v>
      </c>
      <c r="D170" s="2" t="s">
        <v>12</v>
      </c>
      <c r="E170" s="7" t="s">
        <v>25</v>
      </c>
      <c r="F170" s="7" t="s">
        <v>24</v>
      </c>
      <c r="H170" s="8" t="str">
        <f t="shared" si="8"/>
        <v/>
      </c>
      <c r="I170" s="8" t="str">
        <f t="shared" si="10"/>
        <v/>
      </c>
    </row>
    <row r="171" spans="1:10" x14ac:dyDescent="0.25">
      <c r="A171">
        <v>1</v>
      </c>
      <c r="B171" s="5">
        <v>0.42275462962962962</v>
      </c>
      <c r="D171" s="2" t="s">
        <v>12</v>
      </c>
      <c r="E171" s="7" t="s">
        <v>22</v>
      </c>
      <c r="F171" s="7" t="s">
        <v>38</v>
      </c>
      <c r="G171" s="8" t="s">
        <v>30</v>
      </c>
      <c r="H171" s="8" t="s">
        <v>30</v>
      </c>
      <c r="I171" s="8" t="str">
        <f t="shared" si="10"/>
        <v>NA</v>
      </c>
    </row>
    <row r="172" spans="1:10" x14ac:dyDescent="0.25">
      <c r="A172">
        <v>1</v>
      </c>
      <c r="B172" s="5">
        <v>0.42307870370370365</v>
      </c>
      <c r="D172" s="2" t="s">
        <v>12</v>
      </c>
      <c r="E172" s="7" t="s">
        <v>25</v>
      </c>
      <c r="F172" s="7" t="s">
        <v>47</v>
      </c>
      <c r="G172" s="8" t="s">
        <v>15</v>
      </c>
      <c r="H172" s="8" t="str">
        <f t="shared" si="8"/>
        <v>NA</v>
      </c>
      <c r="I172" s="8" t="s">
        <v>30</v>
      </c>
    </row>
    <row r="173" spans="1:10" x14ac:dyDescent="0.25">
      <c r="A173">
        <v>1</v>
      </c>
      <c r="B173" s="5">
        <v>0.42368055555555556</v>
      </c>
      <c r="D173" s="2" t="s">
        <v>12</v>
      </c>
      <c r="E173" s="7" t="s">
        <v>25</v>
      </c>
      <c r="F173" s="7" t="s">
        <v>9</v>
      </c>
      <c r="H173" s="8" t="str">
        <f t="shared" si="8"/>
        <v/>
      </c>
      <c r="I173" s="8" t="str">
        <f t="shared" si="10"/>
        <v/>
      </c>
    </row>
    <row r="174" spans="1:10" x14ac:dyDescent="0.25">
      <c r="A174">
        <v>1</v>
      </c>
      <c r="B174" s="5">
        <v>0.42687499999999995</v>
      </c>
      <c r="D174" s="6" t="s">
        <v>12</v>
      </c>
      <c r="E174" s="7" t="s">
        <v>24</v>
      </c>
      <c r="F174" s="7" t="s">
        <v>32</v>
      </c>
      <c r="H174" s="8" t="str">
        <f t="shared" si="8"/>
        <v/>
      </c>
      <c r="I174" s="8" t="str">
        <f t="shared" si="10"/>
        <v/>
      </c>
    </row>
    <row r="175" spans="1:10" x14ac:dyDescent="0.25">
      <c r="A175">
        <v>1</v>
      </c>
      <c r="B175" s="5">
        <v>0.42687499999999995</v>
      </c>
      <c r="D175" s="6" t="s">
        <v>12</v>
      </c>
      <c r="E175" s="7" t="s">
        <v>25</v>
      </c>
      <c r="F175" s="7" t="s">
        <v>24</v>
      </c>
      <c r="H175" s="8" t="str">
        <f t="shared" si="8"/>
        <v/>
      </c>
      <c r="I175" s="8" t="str">
        <f t="shared" si="10"/>
        <v/>
      </c>
    </row>
    <row r="176" spans="1:10" x14ac:dyDescent="0.25">
      <c r="A176">
        <v>1</v>
      </c>
      <c r="B176" s="5">
        <v>0.4268865740740741</v>
      </c>
      <c r="D176" s="6" t="s">
        <v>12</v>
      </c>
      <c r="E176" s="7" t="s">
        <v>25</v>
      </c>
      <c r="F176" s="7" t="s">
        <v>32</v>
      </c>
      <c r="H176" s="8" t="str">
        <f t="shared" si="8"/>
        <v/>
      </c>
      <c r="I176" s="8" t="str">
        <f t="shared" si="10"/>
        <v/>
      </c>
    </row>
    <row r="177" spans="1:9" x14ac:dyDescent="0.25">
      <c r="A177">
        <v>1</v>
      </c>
      <c r="B177" s="5">
        <v>0.42743055555555554</v>
      </c>
      <c r="D177" s="6" t="s">
        <v>12</v>
      </c>
      <c r="E177" s="7" t="s">
        <v>27</v>
      </c>
      <c r="F177" s="7" t="s">
        <v>24</v>
      </c>
      <c r="H177" s="8" t="str">
        <f t="shared" si="8"/>
        <v/>
      </c>
      <c r="I177" s="8" t="str">
        <f t="shared" si="10"/>
        <v/>
      </c>
    </row>
    <row r="178" spans="1:9" x14ac:dyDescent="0.25">
      <c r="A178">
        <v>1</v>
      </c>
      <c r="B178" s="5">
        <v>0.42743055555555554</v>
      </c>
      <c r="D178" s="6" t="s">
        <v>12</v>
      </c>
      <c r="E178" s="7" t="s">
        <v>25</v>
      </c>
      <c r="F178" s="7" t="s">
        <v>24</v>
      </c>
      <c r="H178" s="8" t="str">
        <f t="shared" si="8"/>
        <v/>
      </c>
      <c r="I178" s="8" t="str">
        <f t="shared" si="10"/>
        <v/>
      </c>
    </row>
    <row r="179" spans="1:9" x14ac:dyDescent="0.25">
      <c r="A179">
        <v>1</v>
      </c>
      <c r="B179" s="5">
        <v>0.4294560185185185</v>
      </c>
      <c r="D179" s="6" t="s">
        <v>12</v>
      </c>
      <c r="E179" s="7" t="s">
        <v>24</v>
      </c>
      <c r="F179" s="7" t="s">
        <v>32</v>
      </c>
      <c r="H179" s="8" t="str">
        <f t="shared" si="8"/>
        <v/>
      </c>
      <c r="I179" s="8" t="str">
        <f t="shared" si="10"/>
        <v/>
      </c>
    </row>
    <row r="180" spans="1:9" x14ac:dyDescent="0.25">
      <c r="A180">
        <v>1</v>
      </c>
      <c r="B180" s="5">
        <v>0.42957175925925922</v>
      </c>
      <c r="D180" s="6" t="s">
        <v>12</v>
      </c>
      <c r="E180" s="7" t="s">
        <v>27</v>
      </c>
      <c r="F180" s="7" t="s">
        <v>20</v>
      </c>
      <c r="G180" s="8" t="s">
        <v>15</v>
      </c>
      <c r="H180" s="8" t="str">
        <f t="shared" si="8"/>
        <v>NA</v>
      </c>
      <c r="I180" s="8" t="s">
        <v>30</v>
      </c>
    </row>
    <row r="181" spans="1:9" x14ac:dyDescent="0.25">
      <c r="A181">
        <v>1</v>
      </c>
      <c r="B181" s="5">
        <v>0.43059027777777775</v>
      </c>
      <c r="C181" s="5"/>
      <c r="D181" s="6" t="s">
        <v>12</v>
      </c>
      <c r="E181" s="7" t="s">
        <v>32</v>
      </c>
      <c r="F181" s="7" t="s">
        <v>27</v>
      </c>
      <c r="H181" s="8" t="str">
        <f t="shared" si="8"/>
        <v/>
      </c>
      <c r="I181" s="8" t="str">
        <f t="shared" si="10"/>
        <v/>
      </c>
    </row>
    <row r="182" spans="1:9" x14ac:dyDescent="0.25">
      <c r="A182">
        <v>1</v>
      </c>
      <c r="B182" s="5">
        <v>0.43089120370370365</v>
      </c>
      <c r="D182" s="6" t="s">
        <v>12</v>
      </c>
      <c r="E182" s="7" t="s">
        <v>25</v>
      </c>
      <c r="F182" s="7" t="s">
        <v>20</v>
      </c>
      <c r="G182" s="8" t="s">
        <v>15</v>
      </c>
      <c r="H182" s="8" t="str">
        <f t="shared" si="8"/>
        <v>NA</v>
      </c>
      <c r="I182" s="8" t="s">
        <v>30</v>
      </c>
    </row>
    <row r="183" spans="1:9" x14ac:dyDescent="0.25">
      <c r="A183">
        <v>1</v>
      </c>
      <c r="B183" s="5">
        <v>0.43122685185185183</v>
      </c>
      <c r="C183" s="5">
        <v>0.43188657407407405</v>
      </c>
      <c r="D183" s="6" t="s">
        <v>21</v>
      </c>
      <c r="E183" s="7" t="s">
        <v>23</v>
      </c>
      <c r="F183" s="7" t="s">
        <v>47</v>
      </c>
      <c r="G183" s="8" t="s">
        <v>15</v>
      </c>
      <c r="H183" s="8" t="str">
        <f t="shared" si="8"/>
        <v>NA</v>
      </c>
      <c r="I183" s="8" t="s">
        <v>15</v>
      </c>
    </row>
    <row r="184" spans="1:9" x14ac:dyDescent="0.25">
      <c r="A184">
        <v>1</v>
      </c>
      <c r="B184" s="5">
        <v>0.4324884259259259</v>
      </c>
      <c r="D184" s="6" t="s">
        <v>12</v>
      </c>
      <c r="E184" s="7" t="s">
        <v>23</v>
      </c>
      <c r="F184" s="7" t="s">
        <v>20</v>
      </c>
      <c r="G184" s="8" t="s">
        <v>15</v>
      </c>
      <c r="H184" s="8" t="str">
        <f t="shared" si="8"/>
        <v>NA</v>
      </c>
      <c r="I184" s="8" t="s">
        <v>30</v>
      </c>
    </row>
    <row r="185" spans="1:9" x14ac:dyDescent="0.25">
      <c r="A185">
        <v>1</v>
      </c>
      <c r="B185" s="5">
        <v>0.43259259259259258</v>
      </c>
      <c r="D185" s="6" t="s">
        <v>12</v>
      </c>
      <c r="E185" s="7" t="s">
        <v>25</v>
      </c>
      <c r="F185" s="7" t="s">
        <v>20</v>
      </c>
      <c r="G185" s="8" t="s">
        <v>15</v>
      </c>
      <c r="H185" s="8" t="str">
        <f t="shared" si="8"/>
        <v>NA</v>
      </c>
      <c r="I185" s="8" t="s">
        <v>30</v>
      </c>
    </row>
    <row r="186" spans="1:9" x14ac:dyDescent="0.25">
      <c r="A186">
        <v>1</v>
      </c>
      <c r="B186" s="5">
        <v>0.43299768518518517</v>
      </c>
      <c r="D186" s="6" t="s">
        <v>12</v>
      </c>
      <c r="E186" s="7" t="s">
        <v>23</v>
      </c>
      <c r="F186" s="7" t="s">
        <v>47</v>
      </c>
      <c r="G186" s="8" t="s">
        <v>15</v>
      </c>
      <c r="H186" s="8" t="str">
        <f t="shared" si="8"/>
        <v>NA</v>
      </c>
      <c r="I186" s="8" t="s">
        <v>30</v>
      </c>
    </row>
    <row r="187" spans="1:9" x14ac:dyDescent="0.25">
      <c r="A187">
        <v>1</v>
      </c>
      <c r="B187" s="5">
        <v>0.43354166666666666</v>
      </c>
      <c r="D187" s="6" t="s">
        <v>12</v>
      </c>
      <c r="E187" s="7" t="s">
        <v>22</v>
      </c>
      <c r="F187" s="7" t="s">
        <v>27</v>
      </c>
      <c r="H187" s="8" t="str">
        <f t="shared" si="8"/>
        <v/>
      </c>
      <c r="I187" s="8" t="str">
        <f t="shared" si="10"/>
        <v/>
      </c>
    </row>
    <row r="188" spans="1:9" x14ac:dyDescent="0.25">
      <c r="A188">
        <v>1</v>
      </c>
      <c r="B188" s="5">
        <v>0.43406250000000002</v>
      </c>
      <c r="D188" s="6" t="s">
        <v>12</v>
      </c>
      <c r="E188" s="7" t="s">
        <v>23</v>
      </c>
      <c r="F188" s="7" t="s">
        <v>47</v>
      </c>
      <c r="G188" s="8" t="s">
        <v>30</v>
      </c>
      <c r="H188" s="8" t="s">
        <v>15</v>
      </c>
      <c r="I188" s="8" t="s">
        <v>30</v>
      </c>
    </row>
    <row r="189" spans="1:9" x14ac:dyDescent="0.25">
      <c r="A189">
        <v>1</v>
      </c>
      <c r="B189" s="5">
        <v>0.43424768518518514</v>
      </c>
      <c r="D189" s="6" t="s">
        <v>12</v>
      </c>
      <c r="E189" s="7" t="s">
        <v>23</v>
      </c>
      <c r="F189" s="7" t="s">
        <v>47</v>
      </c>
      <c r="G189" s="8" t="s">
        <v>15</v>
      </c>
      <c r="H189" s="8" t="str">
        <f t="shared" si="8"/>
        <v>NA</v>
      </c>
      <c r="I189" s="8" t="s">
        <v>30</v>
      </c>
    </row>
    <row r="190" spans="1:9" x14ac:dyDescent="0.25">
      <c r="A190">
        <v>1</v>
      </c>
      <c r="B190" s="5">
        <v>0.43458333333333332</v>
      </c>
      <c r="D190" s="6" t="s">
        <v>12</v>
      </c>
      <c r="E190" s="7" t="s">
        <v>23</v>
      </c>
      <c r="F190" s="7" t="s">
        <v>25</v>
      </c>
      <c r="H190" s="8" t="str">
        <f t="shared" si="8"/>
        <v/>
      </c>
      <c r="I190" s="8" t="str">
        <f t="shared" si="10"/>
        <v/>
      </c>
    </row>
    <row r="191" spans="1:9" x14ac:dyDescent="0.25">
      <c r="A191">
        <v>1</v>
      </c>
      <c r="B191" s="5">
        <v>0.43567129629629631</v>
      </c>
      <c r="D191" s="6" t="s">
        <v>12</v>
      </c>
      <c r="E191" s="7" t="s">
        <v>25</v>
      </c>
      <c r="F191" s="7" t="s">
        <v>47</v>
      </c>
      <c r="G191" s="8" t="s">
        <v>15</v>
      </c>
      <c r="H191" s="8" t="str">
        <f t="shared" si="8"/>
        <v>NA</v>
      </c>
      <c r="I191" s="8" t="s">
        <v>30</v>
      </c>
    </row>
    <row r="192" spans="1:9" x14ac:dyDescent="0.25">
      <c r="A192">
        <v>1</v>
      </c>
      <c r="B192" s="5">
        <v>0.43668981481481484</v>
      </c>
      <c r="D192" s="6" t="s">
        <v>12</v>
      </c>
      <c r="E192" s="7" t="s">
        <v>25</v>
      </c>
      <c r="F192" s="7" t="s">
        <v>20</v>
      </c>
      <c r="G192" s="8" t="s">
        <v>15</v>
      </c>
      <c r="H192" s="8" t="str">
        <f t="shared" si="8"/>
        <v>NA</v>
      </c>
      <c r="I192" s="8" t="s">
        <v>30</v>
      </c>
    </row>
    <row r="193" spans="1:10" x14ac:dyDescent="0.25">
      <c r="A193">
        <v>1</v>
      </c>
      <c r="B193" s="5">
        <v>0.43709490740740736</v>
      </c>
      <c r="D193" s="6" t="s">
        <v>12</v>
      </c>
      <c r="E193" s="7" t="s">
        <v>23</v>
      </c>
      <c r="F193" s="7" t="s">
        <v>47</v>
      </c>
      <c r="G193" s="8" t="s">
        <v>30</v>
      </c>
      <c r="H193" s="8" t="s">
        <v>30</v>
      </c>
      <c r="I193" s="8" t="str">
        <f t="shared" si="10"/>
        <v>NA</v>
      </c>
    </row>
    <row r="194" spans="1:10" x14ac:dyDescent="0.25">
      <c r="A194">
        <v>1</v>
      </c>
      <c r="B194" s="5">
        <v>0.43730324074074073</v>
      </c>
      <c r="D194" s="6" t="s">
        <v>12</v>
      </c>
      <c r="E194" s="7" t="s">
        <v>23</v>
      </c>
      <c r="F194" s="7" t="s">
        <v>55</v>
      </c>
      <c r="G194" s="8" t="s">
        <v>30</v>
      </c>
      <c r="H194" s="8" t="s">
        <v>15</v>
      </c>
      <c r="I194" s="8" t="s">
        <v>30</v>
      </c>
    </row>
    <row r="195" spans="1:10" x14ac:dyDescent="0.25">
      <c r="A195">
        <v>1</v>
      </c>
      <c r="B195" s="5">
        <v>0.43778935185185186</v>
      </c>
      <c r="D195" s="6" t="s">
        <v>12</v>
      </c>
      <c r="E195" s="7" t="s">
        <v>25</v>
      </c>
      <c r="F195" s="7" t="s">
        <v>20</v>
      </c>
      <c r="G195" s="8" t="s">
        <v>15</v>
      </c>
      <c r="H195" s="8" t="str">
        <f t="shared" ref="H195:H207" si="11">IF(G195 = "n", "NA", "")</f>
        <v>NA</v>
      </c>
      <c r="I195" s="8" t="s">
        <v>30</v>
      </c>
      <c r="J195" s="20" t="s">
        <v>54</v>
      </c>
    </row>
    <row r="196" spans="1:10" x14ac:dyDescent="0.25">
      <c r="A196">
        <v>1</v>
      </c>
      <c r="B196" s="5">
        <v>0.43975694444444446</v>
      </c>
      <c r="D196" s="6" t="s">
        <v>12</v>
      </c>
      <c r="E196" s="7" t="s">
        <v>23</v>
      </c>
      <c r="F196" s="7" t="s">
        <v>47</v>
      </c>
      <c r="G196" s="8" t="s">
        <v>15</v>
      </c>
      <c r="H196" s="8" t="str">
        <f t="shared" si="11"/>
        <v>NA</v>
      </c>
      <c r="I196" s="8" t="s">
        <v>30</v>
      </c>
    </row>
    <row r="197" spans="1:10" x14ac:dyDescent="0.25">
      <c r="A197">
        <v>1</v>
      </c>
      <c r="B197" s="5">
        <v>0.44057870370370367</v>
      </c>
      <c r="D197" s="6" t="s">
        <v>12</v>
      </c>
      <c r="E197" s="7" t="s">
        <v>16</v>
      </c>
      <c r="F197" s="7" t="s">
        <v>20</v>
      </c>
      <c r="G197" s="8" t="s">
        <v>15</v>
      </c>
      <c r="H197" s="8" t="str">
        <f t="shared" si="11"/>
        <v>NA</v>
      </c>
      <c r="I197" s="8" t="s">
        <v>30</v>
      </c>
    </row>
    <row r="198" spans="1:10" x14ac:dyDescent="0.25">
      <c r="A198">
        <v>1</v>
      </c>
      <c r="B198" s="5">
        <v>0.44127314814814816</v>
      </c>
      <c r="D198" s="6" t="s">
        <v>12</v>
      </c>
      <c r="E198" s="7" t="s">
        <v>23</v>
      </c>
      <c r="F198" s="7" t="s">
        <v>20</v>
      </c>
      <c r="G198" s="8" t="s">
        <v>15</v>
      </c>
      <c r="H198" s="8" t="str">
        <f t="shared" si="11"/>
        <v>NA</v>
      </c>
      <c r="I198" s="8" t="s">
        <v>15</v>
      </c>
    </row>
    <row r="199" spans="1:10" x14ac:dyDescent="0.25">
      <c r="A199">
        <v>1</v>
      </c>
      <c r="B199" s="5">
        <v>0.44158564814814816</v>
      </c>
      <c r="D199" s="6" t="s">
        <v>12</v>
      </c>
      <c r="E199" s="7" t="s">
        <v>25</v>
      </c>
      <c r="F199" s="7" t="s">
        <v>47</v>
      </c>
      <c r="G199" s="8" t="s">
        <v>15</v>
      </c>
      <c r="H199" s="8" t="str">
        <f t="shared" si="11"/>
        <v>NA</v>
      </c>
      <c r="I199" s="8" t="s">
        <v>15</v>
      </c>
    </row>
    <row r="200" spans="1:10" x14ac:dyDescent="0.25">
      <c r="A200">
        <v>1</v>
      </c>
      <c r="B200" s="5">
        <v>0.44238425925925928</v>
      </c>
      <c r="D200" s="6" t="s">
        <v>12</v>
      </c>
      <c r="E200" s="7" t="s">
        <v>23</v>
      </c>
      <c r="F200" s="7" t="s">
        <v>22</v>
      </c>
      <c r="G200" s="8" t="s">
        <v>30</v>
      </c>
      <c r="H200" s="8" t="s">
        <v>30</v>
      </c>
      <c r="I200" s="8" t="str">
        <f t="shared" si="10"/>
        <v>NA</v>
      </c>
    </row>
    <row r="201" spans="1:10" x14ac:dyDescent="0.25">
      <c r="A201">
        <v>1</v>
      </c>
      <c r="B201" s="5">
        <v>0.44319444444444445</v>
      </c>
      <c r="D201" s="6" t="s">
        <v>12</v>
      </c>
      <c r="E201" s="7" t="s">
        <v>32</v>
      </c>
      <c r="F201" s="7" t="s">
        <v>23</v>
      </c>
    </row>
    <row r="202" spans="1:10" x14ac:dyDescent="0.25">
      <c r="A202">
        <v>1</v>
      </c>
      <c r="B202" s="5">
        <v>0.44549768518518523</v>
      </c>
      <c r="D202" s="6" t="s">
        <v>12</v>
      </c>
      <c r="E202" s="7" t="s">
        <v>23</v>
      </c>
      <c r="F202" s="7" t="s">
        <v>20</v>
      </c>
      <c r="G202" s="8" t="s">
        <v>15</v>
      </c>
      <c r="H202" s="8" t="str">
        <f t="shared" si="11"/>
        <v>NA</v>
      </c>
      <c r="I202" s="8" t="s">
        <v>30</v>
      </c>
    </row>
    <row r="203" spans="1:10" x14ac:dyDescent="0.25">
      <c r="A203">
        <v>1</v>
      </c>
      <c r="B203" s="5">
        <v>0.44663194444444443</v>
      </c>
      <c r="D203" s="6" t="s">
        <v>12</v>
      </c>
      <c r="E203" s="7" t="s">
        <v>25</v>
      </c>
      <c r="F203" s="7" t="s">
        <v>33</v>
      </c>
      <c r="G203" s="8" t="s">
        <v>30</v>
      </c>
      <c r="H203" s="8" t="s">
        <v>30</v>
      </c>
      <c r="I203" s="8" t="str">
        <f t="shared" si="10"/>
        <v>NA</v>
      </c>
    </row>
    <row r="204" spans="1:10" x14ac:dyDescent="0.25">
      <c r="A204">
        <v>1</v>
      </c>
      <c r="B204" s="5">
        <v>0.44739583333333338</v>
      </c>
      <c r="D204" s="6" t="s">
        <v>12</v>
      </c>
      <c r="E204" s="7" t="s">
        <v>25</v>
      </c>
      <c r="F204" s="7" t="s">
        <v>47</v>
      </c>
      <c r="G204" s="8" t="s">
        <v>15</v>
      </c>
      <c r="H204" s="8" t="str">
        <f t="shared" si="11"/>
        <v>NA</v>
      </c>
      <c r="I204" s="8" t="s">
        <v>30</v>
      </c>
    </row>
    <row r="205" spans="1:10" x14ac:dyDescent="0.25">
      <c r="A205">
        <v>1</v>
      </c>
      <c r="B205" s="5">
        <v>0.44795138888888886</v>
      </c>
      <c r="D205" s="6" t="s">
        <v>12</v>
      </c>
      <c r="E205" s="7" t="s">
        <v>42</v>
      </c>
      <c r="F205" s="7" t="s">
        <v>38</v>
      </c>
      <c r="G205" s="8" t="s">
        <v>30</v>
      </c>
      <c r="H205" s="8" t="s">
        <v>30</v>
      </c>
      <c r="I205" s="8" t="str">
        <f t="shared" si="10"/>
        <v>NA</v>
      </c>
    </row>
    <row r="206" spans="1:10" x14ac:dyDescent="0.25">
      <c r="A206">
        <v>1</v>
      </c>
      <c r="B206" s="5">
        <v>0.44802083333333331</v>
      </c>
      <c r="D206" s="6" t="s">
        <v>21</v>
      </c>
      <c r="E206" s="7" t="s">
        <v>22</v>
      </c>
      <c r="F206" s="7" t="s">
        <v>49</v>
      </c>
      <c r="G206" s="8" t="s">
        <v>15</v>
      </c>
      <c r="H206" s="8" t="str">
        <f t="shared" si="11"/>
        <v>NA</v>
      </c>
      <c r="I206" s="8" t="s">
        <v>15</v>
      </c>
    </row>
    <row r="207" spans="1:10" x14ac:dyDescent="0.25">
      <c r="A207">
        <v>1</v>
      </c>
      <c r="B207" s="5">
        <v>0.44804398148148145</v>
      </c>
      <c r="D207" s="6" t="s">
        <v>12</v>
      </c>
      <c r="E207" s="7" t="s">
        <v>25</v>
      </c>
      <c r="F207" s="7" t="s">
        <v>20</v>
      </c>
      <c r="G207" s="8" t="s">
        <v>15</v>
      </c>
      <c r="H207" s="8" t="str">
        <f t="shared" si="11"/>
        <v>NA</v>
      </c>
      <c r="I207" s="8" t="s">
        <v>30</v>
      </c>
    </row>
    <row r="208" spans="1:10" x14ac:dyDescent="0.25">
      <c r="A208">
        <v>1</v>
      </c>
      <c r="B208" s="5">
        <v>0.44842592592592595</v>
      </c>
      <c r="D208" s="6" t="s">
        <v>12</v>
      </c>
      <c r="E208" s="7" t="s">
        <v>42</v>
      </c>
      <c r="F208" s="7" t="s">
        <v>33</v>
      </c>
      <c r="G208" s="8" t="s">
        <v>30</v>
      </c>
      <c r="H208" s="8" t="s">
        <v>15</v>
      </c>
      <c r="I208" s="8" t="s">
        <v>30</v>
      </c>
    </row>
    <row r="209" spans="1:9" x14ac:dyDescent="0.25">
      <c r="A209">
        <v>1</v>
      </c>
      <c r="B209" s="5">
        <v>0.44858796296296299</v>
      </c>
      <c r="D209" s="6" t="s">
        <v>12</v>
      </c>
      <c r="E209" s="7" t="s">
        <v>25</v>
      </c>
      <c r="F209" s="7" t="s">
        <v>42</v>
      </c>
      <c r="H209" s="8" t="str">
        <f t="shared" ref="H209:H220" si="12">IF(J209 = "N", "NA", "")</f>
        <v/>
      </c>
      <c r="I209" s="8" t="str">
        <f t="shared" ref="I209:I272" si="13">IF(H209 = "y", "NA", "")</f>
        <v/>
      </c>
    </row>
    <row r="210" spans="1:9" x14ac:dyDescent="0.25">
      <c r="A210">
        <v>1</v>
      </c>
      <c r="B210" s="5">
        <v>0.44871527777777781</v>
      </c>
      <c r="D210" s="6" t="s">
        <v>12</v>
      </c>
      <c r="E210" s="7" t="s">
        <v>25</v>
      </c>
      <c r="F210" s="7" t="s">
        <v>42</v>
      </c>
      <c r="H210" s="8" t="str">
        <f t="shared" si="12"/>
        <v/>
      </c>
      <c r="I210" s="8" t="str">
        <f t="shared" si="13"/>
        <v/>
      </c>
    </row>
    <row r="211" spans="1:9" x14ac:dyDescent="0.25">
      <c r="A211">
        <v>1</v>
      </c>
      <c r="B211" s="5">
        <v>0.44871527777777781</v>
      </c>
      <c r="D211" s="6" t="s">
        <v>12</v>
      </c>
      <c r="E211" s="7" t="s">
        <v>23</v>
      </c>
      <c r="F211" s="7" t="s">
        <v>25</v>
      </c>
      <c r="H211" s="8" t="str">
        <f t="shared" si="12"/>
        <v/>
      </c>
      <c r="I211" s="8" t="str">
        <f t="shared" si="13"/>
        <v/>
      </c>
    </row>
    <row r="212" spans="1:9" x14ac:dyDescent="0.25">
      <c r="A212">
        <v>1</v>
      </c>
      <c r="B212" s="5">
        <v>0.44872685185185185</v>
      </c>
      <c r="D212" s="6" t="s">
        <v>12</v>
      </c>
      <c r="E212" s="7" t="s">
        <v>25</v>
      </c>
      <c r="F212" s="7" t="s">
        <v>42</v>
      </c>
      <c r="H212" s="8" t="str">
        <f t="shared" si="12"/>
        <v/>
      </c>
      <c r="I212" s="8" t="str">
        <f t="shared" si="13"/>
        <v/>
      </c>
    </row>
    <row r="213" spans="1:9" x14ac:dyDescent="0.25">
      <c r="A213">
        <v>1</v>
      </c>
      <c r="B213" s="5">
        <v>0.4488773148148148</v>
      </c>
      <c r="D213" s="6" t="s">
        <v>12</v>
      </c>
      <c r="E213" s="7" t="s">
        <v>25</v>
      </c>
      <c r="F213" s="7" t="s">
        <v>23</v>
      </c>
      <c r="H213" s="8" t="str">
        <f t="shared" si="12"/>
        <v/>
      </c>
      <c r="I213" s="8" t="str">
        <f t="shared" si="13"/>
        <v/>
      </c>
    </row>
    <row r="214" spans="1:9" x14ac:dyDescent="0.25">
      <c r="A214">
        <v>1</v>
      </c>
      <c r="B214" s="5">
        <v>0.44938657407407406</v>
      </c>
      <c r="D214" s="6" t="s">
        <v>12</v>
      </c>
      <c r="E214" s="7" t="s">
        <v>25</v>
      </c>
      <c r="F214" s="7" t="s">
        <v>47</v>
      </c>
      <c r="G214" s="8" t="s">
        <v>15</v>
      </c>
      <c r="H214" s="8" t="s">
        <v>31</v>
      </c>
      <c r="I214" s="8" t="s">
        <v>30</v>
      </c>
    </row>
    <row r="215" spans="1:9" x14ac:dyDescent="0.25">
      <c r="A215">
        <v>1</v>
      </c>
      <c r="B215" s="5">
        <v>0.44942129629629629</v>
      </c>
      <c r="D215" s="6" t="s">
        <v>12</v>
      </c>
      <c r="E215" s="7" t="s">
        <v>42</v>
      </c>
      <c r="F215" s="7" t="s">
        <v>33</v>
      </c>
      <c r="G215" s="8" t="s">
        <v>15</v>
      </c>
      <c r="H215" s="8" t="s">
        <v>31</v>
      </c>
      <c r="I215" s="8" t="s">
        <v>30</v>
      </c>
    </row>
    <row r="216" spans="1:9" x14ac:dyDescent="0.25">
      <c r="A216">
        <v>1</v>
      </c>
      <c r="B216" s="5">
        <v>0.45065972222222223</v>
      </c>
      <c r="D216" s="6" t="s">
        <v>12</v>
      </c>
      <c r="E216" s="7" t="s">
        <v>25</v>
      </c>
      <c r="F216" s="7" t="s">
        <v>55</v>
      </c>
      <c r="G216" s="8" t="s">
        <v>15</v>
      </c>
      <c r="H216" s="8" t="str">
        <f t="shared" si="12"/>
        <v/>
      </c>
      <c r="I216" s="8" t="s">
        <v>30</v>
      </c>
    </row>
    <row r="217" spans="1:9" x14ac:dyDescent="0.25">
      <c r="A217">
        <v>1</v>
      </c>
      <c r="B217" s="5">
        <v>0.45099537037037035</v>
      </c>
      <c r="D217" s="6" t="s">
        <v>12</v>
      </c>
      <c r="E217" s="7" t="s">
        <v>27</v>
      </c>
      <c r="F217" s="7" t="s">
        <v>26</v>
      </c>
      <c r="G217" s="8" t="s">
        <v>30</v>
      </c>
      <c r="H217" s="8" t="s">
        <v>30</v>
      </c>
      <c r="I217" s="8" t="str">
        <f t="shared" si="13"/>
        <v>NA</v>
      </c>
    </row>
    <row r="218" spans="1:9" x14ac:dyDescent="0.25">
      <c r="A218">
        <v>1</v>
      </c>
      <c r="B218" s="5">
        <v>0.45131944444444444</v>
      </c>
      <c r="D218" s="6" t="s">
        <v>12</v>
      </c>
      <c r="E218" s="7" t="s">
        <v>42</v>
      </c>
      <c r="F218" s="7" t="s">
        <v>23</v>
      </c>
      <c r="H218" s="8" t="str">
        <f t="shared" si="12"/>
        <v/>
      </c>
      <c r="I218" s="8" t="str">
        <f t="shared" si="13"/>
        <v/>
      </c>
    </row>
    <row r="219" spans="1:9" x14ac:dyDescent="0.25">
      <c r="A219">
        <v>1</v>
      </c>
      <c r="B219" s="5">
        <v>0.45164351851851853</v>
      </c>
      <c r="D219" s="6" t="s">
        <v>12</v>
      </c>
      <c r="E219" s="7" t="s">
        <v>23</v>
      </c>
      <c r="F219" s="7" t="s">
        <v>17</v>
      </c>
      <c r="G219" s="8" t="s">
        <v>30</v>
      </c>
      <c r="H219" s="8" t="s">
        <v>30</v>
      </c>
      <c r="I219" s="8" t="str">
        <f t="shared" si="13"/>
        <v>NA</v>
      </c>
    </row>
    <row r="220" spans="1:9" x14ac:dyDescent="0.25">
      <c r="A220">
        <v>1</v>
      </c>
      <c r="B220" s="5">
        <v>0.45201388888888888</v>
      </c>
      <c r="D220" s="6" t="s">
        <v>12</v>
      </c>
      <c r="E220" s="7" t="s">
        <v>42</v>
      </c>
      <c r="F220" s="7" t="s">
        <v>20</v>
      </c>
      <c r="G220" s="8" t="s">
        <v>15</v>
      </c>
      <c r="H220" s="8" t="str">
        <f t="shared" si="12"/>
        <v/>
      </c>
      <c r="I220" s="8" t="s">
        <v>30</v>
      </c>
    </row>
    <row r="221" spans="1:9" x14ac:dyDescent="0.25">
      <c r="A221">
        <v>1</v>
      </c>
      <c r="B221" s="5">
        <v>0.4529050925925926</v>
      </c>
      <c r="D221" s="6" t="s">
        <v>12</v>
      </c>
      <c r="E221" s="7" t="s">
        <v>23</v>
      </c>
      <c r="F221" s="7" t="s">
        <v>20</v>
      </c>
      <c r="G221" s="8" t="s">
        <v>15</v>
      </c>
      <c r="I221" s="8" t="s">
        <v>30</v>
      </c>
    </row>
    <row r="222" spans="1:9" x14ac:dyDescent="0.25">
      <c r="A222">
        <v>1</v>
      </c>
      <c r="B222" s="5">
        <v>0.45295138888888892</v>
      </c>
      <c r="D222" s="6" t="s">
        <v>12</v>
      </c>
      <c r="E222" s="7" t="s">
        <v>25</v>
      </c>
      <c r="F222" s="7" t="s">
        <v>23</v>
      </c>
      <c r="I222" s="8" t="str">
        <f t="shared" si="13"/>
        <v/>
      </c>
    </row>
    <row r="223" spans="1:9" x14ac:dyDescent="0.25">
      <c r="A223">
        <v>1</v>
      </c>
      <c r="B223" s="5">
        <v>0.45313657407407404</v>
      </c>
      <c r="D223" s="6" t="s">
        <v>12</v>
      </c>
      <c r="E223" s="7" t="s">
        <v>25</v>
      </c>
      <c r="F223" s="7" t="s">
        <v>20</v>
      </c>
      <c r="G223" s="8" t="s">
        <v>15</v>
      </c>
      <c r="I223" s="8" t="s">
        <v>30</v>
      </c>
    </row>
    <row r="224" spans="1:9" x14ac:dyDescent="0.25">
      <c r="A224">
        <v>1</v>
      </c>
      <c r="B224" s="5">
        <v>0.45336805555555554</v>
      </c>
      <c r="D224" s="6" t="s">
        <v>12</v>
      </c>
      <c r="E224" s="7" t="s">
        <v>25</v>
      </c>
      <c r="F224" s="7" t="s">
        <v>23</v>
      </c>
      <c r="I224" s="8" t="str">
        <f t="shared" si="13"/>
        <v/>
      </c>
    </row>
    <row r="225" spans="1:9" x14ac:dyDescent="0.25">
      <c r="A225">
        <v>1</v>
      </c>
      <c r="B225" s="5">
        <v>0.45368055555555559</v>
      </c>
      <c r="D225" s="6" t="s">
        <v>12</v>
      </c>
      <c r="E225" s="7" t="s">
        <v>32</v>
      </c>
      <c r="F225" s="7" t="s">
        <v>26</v>
      </c>
      <c r="G225" s="8" t="s">
        <v>30</v>
      </c>
      <c r="H225" s="8" t="s">
        <v>15</v>
      </c>
      <c r="I225" s="8" t="s">
        <v>30</v>
      </c>
    </row>
    <row r="226" spans="1:9" x14ac:dyDescent="0.25">
      <c r="A226">
        <v>1</v>
      </c>
      <c r="B226" s="5">
        <v>0.45392361111111112</v>
      </c>
      <c r="D226" s="6" t="s">
        <v>12</v>
      </c>
      <c r="E226" s="7" t="s">
        <v>25</v>
      </c>
      <c r="F226" s="7" t="s">
        <v>20</v>
      </c>
      <c r="I226" s="8" t="s">
        <v>30</v>
      </c>
    </row>
    <row r="227" spans="1:9" x14ac:dyDescent="0.25">
      <c r="A227">
        <v>1</v>
      </c>
      <c r="B227" s="5">
        <v>0.45906249999999998</v>
      </c>
      <c r="D227" s="6" t="s">
        <v>12</v>
      </c>
      <c r="E227" s="7" t="s">
        <v>24</v>
      </c>
      <c r="F227" s="7" t="s">
        <v>26</v>
      </c>
      <c r="G227" s="8" t="s">
        <v>30</v>
      </c>
      <c r="H227" s="8" t="s">
        <v>30</v>
      </c>
      <c r="I227" s="8" t="str">
        <f t="shared" si="13"/>
        <v>NA</v>
      </c>
    </row>
    <row r="228" spans="1:9" x14ac:dyDescent="0.25">
      <c r="A228">
        <v>1</v>
      </c>
      <c r="B228" s="5">
        <v>0.46098379629629632</v>
      </c>
      <c r="D228" s="6" t="s">
        <v>12</v>
      </c>
      <c r="E228" s="7" t="s">
        <v>22</v>
      </c>
      <c r="F228" s="7" t="s">
        <v>9</v>
      </c>
      <c r="H228" s="8" t="str">
        <f>IF(G228 = "n", "NA", "")</f>
        <v/>
      </c>
      <c r="I228" s="8" t="str">
        <f t="shared" si="13"/>
        <v/>
      </c>
    </row>
    <row r="229" spans="1:9" x14ac:dyDescent="0.25">
      <c r="A229">
        <v>1</v>
      </c>
      <c r="B229" s="5">
        <v>0.4638194444444444</v>
      </c>
      <c r="D229" s="6" t="s">
        <v>12</v>
      </c>
      <c r="E229" s="7" t="s">
        <v>17</v>
      </c>
      <c r="F229" s="7" t="s">
        <v>25</v>
      </c>
      <c r="H229" s="8" t="str">
        <f t="shared" ref="H229:H292" si="14">IF(G229 = "n", "NA", "")</f>
        <v/>
      </c>
      <c r="I229" s="8" t="str">
        <f t="shared" si="13"/>
        <v/>
      </c>
    </row>
    <row r="230" spans="1:9" x14ac:dyDescent="0.25">
      <c r="A230">
        <v>1</v>
      </c>
      <c r="B230" s="5">
        <v>0.46418981481481486</v>
      </c>
      <c r="D230" s="6" t="s">
        <v>12</v>
      </c>
      <c r="E230" s="7" t="s">
        <v>27</v>
      </c>
      <c r="F230" s="7" t="s">
        <v>28</v>
      </c>
      <c r="G230" s="8" t="s">
        <v>30</v>
      </c>
      <c r="H230" s="8" t="s">
        <v>30</v>
      </c>
      <c r="I230" s="8" t="str">
        <f t="shared" si="13"/>
        <v>NA</v>
      </c>
    </row>
    <row r="231" spans="1:9" x14ac:dyDescent="0.25">
      <c r="A231">
        <v>1</v>
      </c>
      <c r="B231" s="5">
        <v>0.46743055555555557</v>
      </c>
      <c r="D231" s="6" t="s">
        <v>12</v>
      </c>
      <c r="E231" s="7" t="s">
        <v>22</v>
      </c>
      <c r="F231" s="7" t="s">
        <v>42</v>
      </c>
      <c r="H231" s="8" t="str">
        <f t="shared" si="14"/>
        <v/>
      </c>
      <c r="I231" s="8" t="str">
        <f t="shared" si="13"/>
        <v/>
      </c>
    </row>
    <row r="232" spans="1:9" x14ac:dyDescent="0.25">
      <c r="A232">
        <v>1</v>
      </c>
      <c r="B232" s="5">
        <v>0.46825231481481483</v>
      </c>
      <c r="D232" s="6" t="s">
        <v>12</v>
      </c>
      <c r="E232" s="7" t="s">
        <v>42</v>
      </c>
      <c r="F232" s="7" t="s">
        <v>47</v>
      </c>
      <c r="G232" s="8" t="s">
        <v>30</v>
      </c>
      <c r="H232" s="8" t="s">
        <v>30</v>
      </c>
      <c r="I232" s="8" t="str">
        <f t="shared" si="13"/>
        <v>NA</v>
      </c>
    </row>
    <row r="233" spans="1:9" x14ac:dyDescent="0.25">
      <c r="A233">
        <v>1</v>
      </c>
      <c r="B233" s="5">
        <v>0.46880787037037036</v>
      </c>
      <c r="D233" s="6" t="s">
        <v>21</v>
      </c>
      <c r="E233" s="7" t="s">
        <v>23</v>
      </c>
      <c r="F233" s="7" t="s">
        <v>33</v>
      </c>
      <c r="G233" s="8" t="s">
        <v>15</v>
      </c>
      <c r="H233" s="8" t="str">
        <f t="shared" si="14"/>
        <v>NA</v>
      </c>
      <c r="I233" s="8" t="s">
        <v>15</v>
      </c>
    </row>
    <row r="234" spans="1:9" x14ac:dyDescent="0.25">
      <c r="A234">
        <v>1</v>
      </c>
      <c r="B234" s="5">
        <v>0.47035879629629629</v>
      </c>
      <c r="D234" s="6" t="s">
        <v>12</v>
      </c>
      <c r="E234" s="7" t="s">
        <v>42</v>
      </c>
      <c r="F234" s="7" t="s">
        <v>47</v>
      </c>
      <c r="G234" s="8" t="s">
        <v>30</v>
      </c>
      <c r="H234" s="8" t="s">
        <v>30</v>
      </c>
      <c r="I234" s="8" t="str">
        <f t="shared" si="13"/>
        <v>NA</v>
      </c>
    </row>
    <row r="235" spans="1:9" x14ac:dyDescent="0.25">
      <c r="A235">
        <v>1</v>
      </c>
      <c r="B235" s="5">
        <v>0.47142361111111114</v>
      </c>
      <c r="D235" s="6" t="s">
        <v>12</v>
      </c>
      <c r="E235" s="7" t="s">
        <v>22</v>
      </c>
      <c r="F235" s="7" t="s">
        <v>9</v>
      </c>
      <c r="H235" s="8" t="str">
        <f t="shared" si="14"/>
        <v/>
      </c>
      <c r="I235" s="8" t="str">
        <f t="shared" si="13"/>
        <v/>
      </c>
    </row>
    <row r="236" spans="1:9" x14ac:dyDescent="0.25">
      <c r="A236">
        <v>1</v>
      </c>
      <c r="B236" s="5">
        <v>0.47199074074074071</v>
      </c>
      <c r="D236" s="6" t="s">
        <v>12</v>
      </c>
      <c r="E236" s="7" t="s">
        <v>42</v>
      </c>
      <c r="F236" s="7" t="s">
        <v>26</v>
      </c>
      <c r="G236" s="8" t="s">
        <v>15</v>
      </c>
      <c r="H236" s="8" t="str">
        <f t="shared" si="14"/>
        <v>NA</v>
      </c>
      <c r="I236" s="8" t="s">
        <v>30</v>
      </c>
    </row>
    <row r="237" spans="1:9" x14ac:dyDescent="0.25">
      <c r="A237">
        <v>1</v>
      </c>
      <c r="B237" s="5">
        <v>0.4722453703703704</v>
      </c>
      <c r="D237" s="6" t="s">
        <v>12</v>
      </c>
      <c r="E237" s="7" t="s">
        <v>23</v>
      </c>
      <c r="F237" s="7" t="s">
        <v>22</v>
      </c>
      <c r="G237" s="8" t="s">
        <v>15</v>
      </c>
      <c r="H237" s="8" t="str">
        <f t="shared" si="14"/>
        <v>NA</v>
      </c>
      <c r="I237" s="8" t="str">
        <f t="shared" si="13"/>
        <v/>
      </c>
    </row>
    <row r="238" spans="1:9" x14ac:dyDescent="0.25">
      <c r="A238">
        <v>1</v>
      </c>
      <c r="B238" s="5">
        <v>0.4732986111111111</v>
      </c>
      <c r="D238" s="6" t="s">
        <v>12</v>
      </c>
      <c r="E238" s="7" t="s">
        <v>56</v>
      </c>
      <c r="F238" s="7" t="s">
        <v>26</v>
      </c>
      <c r="G238" s="8" t="s">
        <v>15</v>
      </c>
      <c r="H238" s="8" t="str">
        <f t="shared" si="14"/>
        <v>NA</v>
      </c>
      <c r="I238" s="8" t="s">
        <v>30</v>
      </c>
    </row>
    <row r="239" spans="1:9" x14ac:dyDescent="0.25">
      <c r="A239">
        <v>1</v>
      </c>
      <c r="B239" s="5">
        <v>0.47527777777777774</v>
      </c>
      <c r="D239" s="6" t="s">
        <v>12</v>
      </c>
      <c r="E239" s="7" t="s">
        <v>22</v>
      </c>
      <c r="F239" s="7" t="s">
        <v>9</v>
      </c>
      <c r="H239" s="8" t="str">
        <f t="shared" si="14"/>
        <v/>
      </c>
      <c r="I239" s="8" t="str">
        <f t="shared" si="13"/>
        <v/>
      </c>
    </row>
    <row r="240" spans="1:9" x14ac:dyDescent="0.25">
      <c r="A240">
        <v>1</v>
      </c>
      <c r="B240" s="5">
        <v>0.47552083333333334</v>
      </c>
      <c r="D240" s="6" t="s">
        <v>12</v>
      </c>
      <c r="E240" s="7" t="s">
        <v>23</v>
      </c>
      <c r="F240" s="7" t="s">
        <v>9</v>
      </c>
      <c r="H240" s="8" t="str">
        <f t="shared" si="14"/>
        <v/>
      </c>
      <c r="I240" s="8" t="str">
        <f t="shared" si="13"/>
        <v/>
      </c>
    </row>
    <row r="241" spans="1:9" x14ac:dyDescent="0.25">
      <c r="A241">
        <v>1</v>
      </c>
      <c r="B241" s="5">
        <v>0.47583333333333333</v>
      </c>
      <c r="D241" s="6" t="s">
        <v>12</v>
      </c>
      <c r="E241" s="7" t="s">
        <v>32</v>
      </c>
      <c r="F241" s="7" t="s">
        <v>20</v>
      </c>
      <c r="G241" s="8" t="s">
        <v>15</v>
      </c>
      <c r="H241" s="8" t="str">
        <f t="shared" si="14"/>
        <v>NA</v>
      </c>
      <c r="I241" s="8" t="s">
        <v>30</v>
      </c>
    </row>
    <row r="242" spans="1:9" x14ac:dyDescent="0.25">
      <c r="A242">
        <v>1</v>
      </c>
      <c r="B242" s="5">
        <v>0.47690972222222222</v>
      </c>
      <c r="D242" s="6" t="s">
        <v>12</v>
      </c>
      <c r="E242" s="7" t="s">
        <v>42</v>
      </c>
      <c r="F242" s="7" t="s">
        <v>20</v>
      </c>
      <c r="G242" s="8" t="s">
        <v>15</v>
      </c>
      <c r="H242" s="8" t="str">
        <f t="shared" si="14"/>
        <v>NA</v>
      </c>
      <c r="I242" s="8" t="s">
        <v>30</v>
      </c>
    </row>
    <row r="243" spans="1:9" x14ac:dyDescent="0.25">
      <c r="A243">
        <v>1</v>
      </c>
      <c r="B243" s="5">
        <v>0.47722222222222221</v>
      </c>
      <c r="D243" s="6" t="s">
        <v>12</v>
      </c>
      <c r="E243" s="7" t="s">
        <v>42</v>
      </c>
      <c r="F243" s="7" t="s">
        <v>47</v>
      </c>
      <c r="G243" s="8" t="s">
        <v>15</v>
      </c>
      <c r="H243" s="8" t="str">
        <f t="shared" si="14"/>
        <v>NA</v>
      </c>
      <c r="I243" s="8" t="s">
        <v>30</v>
      </c>
    </row>
    <row r="244" spans="1:9" x14ac:dyDescent="0.25">
      <c r="A244">
        <v>1</v>
      </c>
      <c r="B244" s="5">
        <v>0.47741898148148149</v>
      </c>
      <c r="D244" s="6" t="s">
        <v>12</v>
      </c>
      <c r="E244" s="7" t="s">
        <v>22</v>
      </c>
      <c r="F244" s="7" t="s">
        <v>57</v>
      </c>
      <c r="H244" s="8" t="str">
        <f t="shared" si="14"/>
        <v/>
      </c>
      <c r="I244" s="8" t="str">
        <f t="shared" si="13"/>
        <v/>
      </c>
    </row>
    <row r="245" spans="1:9" x14ac:dyDescent="0.25">
      <c r="A245">
        <v>1</v>
      </c>
      <c r="B245" s="5">
        <v>0.47780092592592593</v>
      </c>
      <c r="D245" s="6" t="s">
        <v>12</v>
      </c>
      <c r="E245" s="7" t="s">
        <v>9</v>
      </c>
      <c r="F245" s="7" t="s">
        <v>47</v>
      </c>
      <c r="G245" s="8" t="s">
        <v>15</v>
      </c>
      <c r="H245" s="8" t="str">
        <f t="shared" si="14"/>
        <v>NA</v>
      </c>
      <c r="I245" s="8" t="s">
        <v>30</v>
      </c>
    </row>
    <row r="246" spans="1:9" x14ac:dyDescent="0.25">
      <c r="A246">
        <v>1</v>
      </c>
      <c r="B246" s="5">
        <v>0.47806712962962966</v>
      </c>
      <c r="C246" s="5">
        <v>0.47912037037037036</v>
      </c>
      <c r="D246" s="6" t="s">
        <v>21</v>
      </c>
      <c r="E246" s="7" t="s">
        <v>27</v>
      </c>
      <c r="F246" s="7" t="s">
        <v>58</v>
      </c>
      <c r="G246" s="8" t="s">
        <v>30</v>
      </c>
      <c r="H246" s="8" t="s">
        <v>15</v>
      </c>
      <c r="I246" s="8" t="s">
        <v>15</v>
      </c>
    </row>
    <row r="247" spans="1:9" x14ac:dyDescent="0.25">
      <c r="A247">
        <v>1</v>
      </c>
      <c r="B247" s="5">
        <v>0.47879629629629633</v>
      </c>
      <c r="D247" s="6" t="s">
        <v>12</v>
      </c>
      <c r="E247" s="7" t="s">
        <v>22</v>
      </c>
      <c r="F247" s="7" t="s">
        <v>18</v>
      </c>
      <c r="G247" s="8" t="s">
        <v>15</v>
      </c>
      <c r="H247" s="8" t="str">
        <f t="shared" si="14"/>
        <v>NA</v>
      </c>
      <c r="I247" s="8" t="s">
        <v>30</v>
      </c>
    </row>
    <row r="248" spans="1:9" x14ac:dyDescent="0.25">
      <c r="A248">
        <v>1</v>
      </c>
      <c r="B248" s="5">
        <v>0.47929398148148145</v>
      </c>
      <c r="D248" s="6" t="s">
        <v>12</v>
      </c>
      <c r="E248" s="7" t="s">
        <v>22</v>
      </c>
      <c r="F248" s="7" t="s">
        <v>18</v>
      </c>
      <c r="G248" s="8" t="s">
        <v>15</v>
      </c>
      <c r="H248" s="8" t="str">
        <f t="shared" si="14"/>
        <v>NA</v>
      </c>
      <c r="I248" s="8" t="s">
        <v>30</v>
      </c>
    </row>
    <row r="249" spans="1:9" x14ac:dyDescent="0.25">
      <c r="A249">
        <v>1</v>
      </c>
      <c r="B249" s="5">
        <v>0.48013888888888889</v>
      </c>
      <c r="D249" s="6" t="s">
        <v>12</v>
      </c>
      <c r="E249" s="7" t="s">
        <v>23</v>
      </c>
      <c r="F249" s="7" t="s">
        <v>47</v>
      </c>
      <c r="G249" s="8" t="s">
        <v>15</v>
      </c>
      <c r="H249" s="8" t="str">
        <f t="shared" si="14"/>
        <v>NA</v>
      </c>
      <c r="I249" s="8" t="s">
        <v>30</v>
      </c>
    </row>
    <row r="250" spans="1:9" x14ac:dyDescent="0.25">
      <c r="A250">
        <v>1</v>
      </c>
      <c r="B250" s="5">
        <v>0.48145833333333332</v>
      </c>
      <c r="D250" s="6" t="s">
        <v>12</v>
      </c>
      <c r="E250" s="7" t="s">
        <v>27</v>
      </c>
      <c r="F250" s="7" t="s">
        <v>18</v>
      </c>
      <c r="G250" s="8" t="s">
        <v>30</v>
      </c>
      <c r="H250" s="8" t="s">
        <v>30</v>
      </c>
      <c r="I250" s="8" t="str">
        <f t="shared" si="13"/>
        <v>NA</v>
      </c>
    </row>
    <row r="251" spans="1:9" x14ac:dyDescent="0.25">
      <c r="A251">
        <v>1</v>
      </c>
      <c r="B251" s="5">
        <v>0.48249999999999998</v>
      </c>
      <c r="D251" s="6" t="s">
        <v>12</v>
      </c>
      <c r="E251" s="7" t="s">
        <v>9</v>
      </c>
      <c r="F251" s="7" t="s">
        <v>23</v>
      </c>
      <c r="H251" s="8" t="str">
        <f t="shared" si="14"/>
        <v/>
      </c>
      <c r="I251" s="8" t="str">
        <f t="shared" si="13"/>
        <v/>
      </c>
    </row>
    <row r="252" spans="1:9" x14ac:dyDescent="0.25">
      <c r="A252">
        <v>1</v>
      </c>
      <c r="B252" s="5">
        <v>0.48371527777777779</v>
      </c>
      <c r="D252" s="6" t="s">
        <v>12</v>
      </c>
      <c r="E252" s="7" t="s">
        <v>27</v>
      </c>
      <c r="F252" s="7" t="s">
        <v>26</v>
      </c>
      <c r="G252" s="8" t="s">
        <v>30</v>
      </c>
      <c r="H252" s="8" t="s">
        <v>30</v>
      </c>
      <c r="I252" s="8" t="str">
        <f t="shared" si="13"/>
        <v>NA</v>
      </c>
    </row>
    <row r="253" spans="1:9" x14ac:dyDescent="0.25">
      <c r="A253">
        <v>1</v>
      </c>
      <c r="B253" s="5">
        <v>0.48486111111111113</v>
      </c>
      <c r="D253" s="6" t="s">
        <v>12</v>
      </c>
      <c r="E253" s="7" t="s">
        <v>22</v>
      </c>
      <c r="F253" s="7" t="s">
        <v>24</v>
      </c>
      <c r="H253" s="8" t="str">
        <f t="shared" si="14"/>
        <v/>
      </c>
      <c r="I253" s="8" t="str">
        <f t="shared" si="13"/>
        <v/>
      </c>
    </row>
    <row r="254" spans="1:9" x14ac:dyDescent="0.25">
      <c r="A254">
        <v>1</v>
      </c>
      <c r="B254" s="5">
        <v>0.48504629629629631</v>
      </c>
      <c r="D254" s="6" t="s">
        <v>12</v>
      </c>
      <c r="E254" s="7" t="s">
        <v>32</v>
      </c>
      <c r="F254" s="7" t="s">
        <v>20</v>
      </c>
      <c r="G254" s="8" t="s">
        <v>15</v>
      </c>
      <c r="H254" s="8" t="str">
        <f t="shared" si="14"/>
        <v>NA</v>
      </c>
      <c r="I254" s="8" t="s">
        <v>30</v>
      </c>
    </row>
    <row r="255" spans="1:9" x14ac:dyDescent="0.25">
      <c r="A255">
        <v>1</v>
      </c>
      <c r="B255" s="5">
        <v>0.48554398148148148</v>
      </c>
      <c r="D255" s="6" t="s">
        <v>12</v>
      </c>
      <c r="E255" s="7" t="s">
        <v>24</v>
      </c>
      <c r="F255" s="7" t="s">
        <v>38</v>
      </c>
      <c r="G255" s="8" t="s">
        <v>30</v>
      </c>
      <c r="H255" s="8" t="s">
        <v>30</v>
      </c>
      <c r="I255" s="8" t="str">
        <f t="shared" si="13"/>
        <v>NA</v>
      </c>
    </row>
    <row r="256" spans="1:9" x14ac:dyDescent="0.25">
      <c r="A256">
        <v>1</v>
      </c>
      <c r="B256" s="5">
        <v>0.4858912037037037</v>
      </c>
      <c r="D256" s="6" t="s">
        <v>12</v>
      </c>
      <c r="E256" s="7" t="s">
        <v>23</v>
      </c>
      <c r="F256" s="7" t="s">
        <v>38</v>
      </c>
      <c r="G256" s="8" t="s">
        <v>30</v>
      </c>
      <c r="H256" s="8" t="s">
        <v>15</v>
      </c>
      <c r="I256" s="8" t="s">
        <v>30</v>
      </c>
    </row>
    <row r="257" spans="1:10" x14ac:dyDescent="0.25">
      <c r="A257">
        <v>1</v>
      </c>
      <c r="B257" s="5">
        <v>0.48723379629629626</v>
      </c>
      <c r="D257" s="6" t="s">
        <v>12</v>
      </c>
      <c r="E257" s="7" t="s">
        <v>22</v>
      </c>
      <c r="F257" s="7" t="s">
        <v>23</v>
      </c>
      <c r="H257" s="8" t="str">
        <f t="shared" si="14"/>
        <v/>
      </c>
      <c r="I257" s="8" t="str">
        <f t="shared" si="13"/>
        <v/>
      </c>
    </row>
    <row r="258" spans="1:10" x14ac:dyDescent="0.25">
      <c r="A258">
        <v>1</v>
      </c>
      <c r="B258" s="5">
        <v>0.48818287037037034</v>
      </c>
      <c r="D258" s="6" t="s">
        <v>12</v>
      </c>
      <c r="E258" s="7" t="s">
        <v>9</v>
      </c>
      <c r="F258" s="7" t="s">
        <v>18</v>
      </c>
      <c r="G258" s="8" t="s">
        <v>15</v>
      </c>
      <c r="H258" s="8" t="str">
        <f t="shared" si="14"/>
        <v>NA</v>
      </c>
      <c r="I258" s="8" t="s">
        <v>30</v>
      </c>
    </row>
    <row r="259" spans="1:10" x14ac:dyDescent="0.25">
      <c r="A259">
        <v>1</v>
      </c>
      <c r="B259" s="5">
        <v>0.49010416666666662</v>
      </c>
      <c r="D259" s="6" t="s">
        <v>12</v>
      </c>
      <c r="E259" s="7" t="s">
        <v>24</v>
      </c>
      <c r="F259" s="7" t="s">
        <v>20</v>
      </c>
      <c r="G259" s="8" t="s">
        <v>15</v>
      </c>
      <c r="H259" s="8" t="str">
        <f t="shared" si="14"/>
        <v>NA</v>
      </c>
      <c r="I259" s="8" t="s">
        <v>30</v>
      </c>
    </row>
    <row r="260" spans="1:10" x14ac:dyDescent="0.25">
      <c r="A260">
        <v>1</v>
      </c>
      <c r="B260" s="5">
        <v>0.49064814814814817</v>
      </c>
      <c r="D260" s="6" t="s">
        <v>12</v>
      </c>
      <c r="E260" s="7" t="s">
        <v>22</v>
      </c>
      <c r="F260" s="7" t="s">
        <v>20</v>
      </c>
      <c r="G260" s="8" t="s">
        <v>15</v>
      </c>
      <c r="H260" s="8" t="str">
        <f t="shared" si="14"/>
        <v>NA</v>
      </c>
      <c r="I260" s="8" t="s">
        <v>30</v>
      </c>
    </row>
    <row r="261" spans="1:10" x14ac:dyDescent="0.25">
      <c r="A261">
        <v>1</v>
      </c>
      <c r="B261" s="5">
        <v>0.49096064814814816</v>
      </c>
      <c r="D261" s="6" t="s">
        <v>12</v>
      </c>
      <c r="E261" s="7" t="s">
        <v>22</v>
      </c>
      <c r="F261" s="7" t="s">
        <v>59</v>
      </c>
      <c r="G261" s="8" t="s">
        <v>30</v>
      </c>
      <c r="H261" s="8" t="s">
        <v>30</v>
      </c>
      <c r="I261" s="8" t="str">
        <f t="shared" si="13"/>
        <v>NA</v>
      </c>
    </row>
    <row r="262" spans="1:10" x14ac:dyDescent="0.25">
      <c r="A262">
        <v>1</v>
      </c>
      <c r="B262" s="5">
        <v>0.49215277777777783</v>
      </c>
      <c r="D262" s="6" t="s">
        <v>12</v>
      </c>
      <c r="E262" s="7" t="s">
        <v>22</v>
      </c>
      <c r="F262" s="7" t="s">
        <v>23</v>
      </c>
      <c r="H262" s="8" t="str">
        <f t="shared" si="14"/>
        <v/>
      </c>
      <c r="I262" s="8" t="str">
        <f t="shared" si="13"/>
        <v/>
      </c>
    </row>
    <row r="263" spans="1:10" x14ac:dyDescent="0.25">
      <c r="A263">
        <v>1</v>
      </c>
      <c r="B263" s="5">
        <v>0.49267361111111113</v>
      </c>
      <c r="D263" s="6" t="s">
        <v>12</v>
      </c>
      <c r="E263" s="7" t="s">
        <v>23</v>
      </c>
      <c r="F263" s="7" t="s">
        <v>9</v>
      </c>
      <c r="H263" s="8" t="str">
        <f t="shared" si="14"/>
        <v/>
      </c>
      <c r="I263" s="8" t="str">
        <f t="shared" si="13"/>
        <v/>
      </c>
    </row>
    <row r="264" spans="1:10" x14ac:dyDescent="0.25">
      <c r="A264">
        <v>1</v>
      </c>
      <c r="B264" s="5">
        <v>0.49428240740740742</v>
      </c>
      <c r="D264" s="6" t="s">
        <v>12</v>
      </c>
      <c r="E264" s="7" t="s">
        <v>16</v>
      </c>
      <c r="F264" s="7" t="s">
        <v>10</v>
      </c>
      <c r="G264" s="8" t="s">
        <v>30</v>
      </c>
      <c r="H264" s="8" t="s">
        <v>30</v>
      </c>
      <c r="I264" s="8" t="str">
        <f t="shared" si="13"/>
        <v>NA</v>
      </c>
      <c r="J264" s="20" t="s">
        <v>60</v>
      </c>
    </row>
    <row r="265" spans="1:10" x14ac:dyDescent="0.25">
      <c r="A265">
        <v>1</v>
      </c>
      <c r="B265" s="5">
        <v>0.49761574074074072</v>
      </c>
      <c r="D265" s="6" t="s">
        <v>21</v>
      </c>
      <c r="E265" s="7" t="s">
        <v>24</v>
      </c>
      <c r="F265" s="7" t="s">
        <v>20</v>
      </c>
      <c r="G265" s="8" t="s">
        <v>15</v>
      </c>
      <c r="H265" s="8" t="str">
        <f t="shared" si="14"/>
        <v>NA</v>
      </c>
      <c r="I265" s="8" t="s">
        <v>15</v>
      </c>
    </row>
    <row r="266" spans="1:10" x14ac:dyDescent="0.25">
      <c r="A266">
        <v>1</v>
      </c>
      <c r="B266" s="5">
        <v>0.49768518518518517</v>
      </c>
      <c r="D266" s="6" t="s">
        <v>12</v>
      </c>
      <c r="E266" s="7" t="s">
        <v>9</v>
      </c>
      <c r="F266" s="7" t="s">
        <v>16</v>
      </c>
      <c r="H266" s="8" t="str">
        <f t="shared" si="14"/>
        <v/>
      </c>
      <c r="I266" s="8" t="str">
        <f t="shared" si="13"/>
        <v/>
      </c>
    </row>
    <row r="267" spans="1:10" x14ac:dyDescent="0.25">
      <c r="A267">
        <v>1</v>
      </c>
      <c r="B267" s="5">
        <v>0.49761574074074072</v>
      </c>
      <c r="D267" s="6" t="s">
        <v>12</v>
      </c>
      <c r="E267" s="7" t="s">
        <v>16</v>
      </c>
      <c r="F267" s="7" t="s">
        <v>9</v>
      </c>
      <c r="H267" s="8" t="str">
        <f t="shared" si="14"/>
        <v/>
      </c>
      <c r="I267" s="8" t="str">
        <f t="shared" si="13"/>
        <v/>
      </c>
    </row>
    <row r="268" spans="1:10" x14ac:dyDescent="0.25">
      <c r="A268">
        <v>1</v>
      </c>
      <c r="B268" s="5">
        <v>0.50231481481481477</v>
      </c>
      <c r="D268" s="6" t="s">
        <v>12</v>
      </c>
      <c r="E268" s="7" t="s">
        <v>22</v>
      </c>
      <c r="F268" s="7" t="s">
        <v>33</v>
      </c>
      <c r="G268" s="8" t="s">
        <v>30</v>
      </c>
      <c r="H268" s="8" t="s">
        <v>15</v>
      </c>
      <c r="I268" s="8" t="s">
        <v>30</v>
      </c>
    </row>
    <row r="269" spans="1:10" x14ac:dyDescent="0.25">
      <c r="A269">
        <v>1</v>
      </c>
      <c r="B269" s="5">
        <v>0.5083333333333333</v>
      </c>
      <c r="D269" s="6" t="s">
        <v>12</v>
      </c>
      <c r="E269" s="7" t="s">
        <v>22</v>
      </c>
      <c r="F269" s="7" t="s">
        <v>33</v>
      </c>
      <c r="G269" s="8" t="s">
        <v>15</v>
      </c>
      <c r="H269" s="8" t="str">
        <f t="shared" si="14"/>
        <v>NA</v>
      </c>
      <c r="I269" s="8" t="s">
        <v>30</v>
      </c>
    </row>
    <row r="270" spans="1:10" x14ac:dyDescent="0.25">
      <c r="A270">
        <v>1</v>
      </c>
      <c r="B270" s="5">
        <v>0.50877314814814811</v>
      </c>
      <c r="D270" s="6" t="s">
        <v>12</v>
      </c>
      <c r="E270" s="7" t="s">
        <v>19</v>
      </c>
      <c r="F270" s="7" t="s">
        <v>23</v>
      </c>
      <c r="H270" s="8" t="str">
        <f t="shared" si="14"/>
        <v/>
      </c>
      <c r="I270" s="8" t="str">
        <f t="shared" si="13"/>
        <v/>
      </c>
    </row>
    <row r="271" spans="1:10" x14ac:dyDescent="0.25">
      <c r="A271">
        <v>1</v>
      </c>
      <c r="B271" s="5">
        <v>0.50922453703703707</v>
      </c>
      <c r="D271" s="6" t="s">
        <v>12</v>
      </c>
      <c r="E271" s="7" t="s">
        <v>22</v>
      </c>
      <c r="F271" s="7" t="s">
        <v>20</v>
      </c>
      <c r="G271" s="8" t="s">
        <v>15</v>
      </c>
      <c r="H271" s="8" t="str">
        <f t="shared" si="14"/>
        <v>NA</v>
      </c>
      <c r="I271" s="8" t="s">
        <v>30</v>
      </c>
    </row>
    <row r="272" spans="1:10" x14ac:dyDescent="0.25">
      <c r="A272">
        <v>1</v>
      </c>
      <c r="B272" s="5">
        <v>0.5131944444444444</v>
      </c>
      <c r="D272" s="6" t="s">
        <v>12</v>
      </c>
      <c r="E272" s="7" t="s">
        <v>32</v>
      </c>
      <c r="F272" s="7" t="s">
        <v>20</v>
      </c>
      <c r="G272" s="8" t="s">
        <v>30</v>
      </c>
      <c r="H272" s="8" t="s">
        <v>30</v>
      </c>
      <c r="I272" s="8" t="str">
        <f t="shared" si="13"/>
        <v>NA</v>
      </c>
    </row>
    <row r="273" spans="1:9" x14ac:dyDescent="0.25">
      <c r="A273">
        <v>1</v>
      </c>
      <c r="B273" s="5">
        <v>0.51481481481481484</v>
      </c>
      <c r="D273" s="6" t="s">
        <v>12</v>
      </c>
      <c r="E273" s="7" t="s">
        <v>22</v>
      </c>
      <c r="F273" s="7" t="s">
        <v>58</v>
      </c>
      <c r="G273" s="8" t="s">
        <v>15</v>
      </c>
      <c r="H273" s="8" t="str">
        <f t="shared" si="14"/>
        <v>NA</v>
      </c>
      <c r="I273" s="8" t="s">
        <v>30</v>
      </c>
    </row>
    <row r="274" spans="1:9" x14ac:dyDescent="0.25">
      <c r="A274">
        <v>1</v>
      </c>
      <c r="B274" s="5">
        <v>0.51567129629629627</v>
      </c>
      <c r="D274" s="6" t="s">
        <v>12</v>
      </c>
      <c r="E274" s="7" t="s">
        <v>22</v>
      </c>
      <c r="F274" s="7" t="s">
        <v>20</v>
      </c>
      <c r="G274" s="8" t="s">
        <v>15</v>
      </c>
      <c r="H274" s="8" t="str">
        <f t="shared" si="14"/>
        <v>NA</v>
      </c>
      <c r="I274" s="8" t="s">
        <v>30</v>
      </c>
    </row>
    <row r="275" spans="1:9" x14ac:dyDescent="0.25">
      <c r="A275">
        <v>1</v>
      </c>
      <c r="B275" s="5">
        <v>0.51611111111111108</v>
      </c>
      <c r="D275" s="6" t="s">
        <v>12</v>
      </c>
      <c r="E275" s="7" t="s">
        <v>32</v>
      </c>
      <c r="F275" s="7" t="s">
        <v>26</v>
      </c>
      <c r="G275" s="8" t="s">
        <v>30</v>
      </c>
      <c r="H275" s="8" t="s">
        <v>30</v>
      </c>
      <c r="I275" s="8" t="str">
        <f t="shared" ref="I275:I334" si="15">IF(H275 = "y", "NA", "")</f>
        <v>NA</v>
      </c>
    </row>
    <row r="276" spans="1:9" x14ac:dyDescent="0.25">
      <c r="A276">
        <v>1</v>
      </c>
      <c r="B276" s="5">
        <v>0.51652777777777781</v>
      </c>
      <c r="D276" s="6" t="s">
        <v>12</v>
      </c>
      <c r="E276" s="7" t="s">
        <v>22</v>
      </c>
      <c r="F276" s="7" t="s">
        <v>20</v>
      </c>
      <c r="G276" s="8" t="s">
        <v>15</v>
      </c>
      <c r="H276" s="8" t="str">
        <f t="shared" si="14"/>
        <v>NA</v>
      </c>
      <c r="I276" s="8" t="s">
        <v>30</v>
      </c>
    </row>
    <row r="277" spans="1:9" x14ac:dyDescent="0.25">
      <c r="A277">
        <v>1</v>
      </c>
      <c r="B277" s="5">
        <v>0.52031250000000007</v>
      </c>
      <c r="D277" s="6" t="s">
        <v>12</v>
      </c>
      <c r="E277" s="7" t="s">
        <v>22</v>
      </c>
      <c r="F277" s="7" t="s">
        <v>38</v>
      </c>
      <c r="G277" s="8" t="s">
        <v>30</v>
      </c>
      <c r="H277" s="8" t="s">
        <v>30</v>
      </c>
      <c r="I277" s="8" t="str">
        <f t="shared" si="15"/>
        <v>NA</v>
      </c>
    </row>
    <row r="278" spans="1:9" x14ac:dyDescent="0.25">
      <c r="A278">
        <v>1</v>
      </c>
      <c r="B278" s="5">
        <v>0.52226851851851852</v>
      </c>
      <c r="D278" s="6" t="s">
        <v>12</v>
      </c>
      <c r="E278" s="7" t="s">
        <v>16</v>
      </c>
      <c r="F278" s="7" t="s">
        <v>20</v>
      </c>
      <c r="G278" s="8" t="s">
        <v>15</v>
      </c>
      <c r="H278" s="8" t="str">
        <f t="shared" si="14"/>
        <v>NA</v>
      </c>
      <c r="I278" s="8" t="s">
        <v>30</v>
      </c>
    </row>
    <row r="279" spans="1:9" x14ac:dyDescent="0.25">
      <c r="A279">
        <v>1</v>
      </c>
      <c r="B279" s="5">
        <v>0.52251157407407411</v>
      </c>
      <c r="D279" s="6" t="s">
        <v>12</v>
      </c>
      <c r="E279" s="7" t="s">
        <v>25</v>
      </c>
      <c r="F279" s="7" t="s">
        <v>58</v>
      </c>
      <c r="G279" s="8" t="s">
        <v>15</v>
      </c>
      <c r="H279" s="8" t="str">
        <f t="shared" si="14"/>
        <v>NA</v>
      </c>
      <c r="I279" s="8" t="s">
        <v>30</v>
      </c>
    </row>
    <row r="280" spans="1:9" x14ac:dyDescent="0.25">
      <c r="A280">
        <v>1</v>
      </c>
      <c r="B280" s="5">
        <v>0.52320601851851845</v>
      </c>
      <c r="D280" s="6" t="s">
        <v>12</v>
      </c>
      <c r="E280" s="7" t="s">
        <v>22</v>
      </c>
      <c r="F280" s="7" t="s">
        <v>33</v>
      </c>
      <c r="G280" s="8" t="s">
        <v>15</v>
      </c>
      <c r="H280" s="8" t="str">
        <f t="shared" si="14"/>
        <v>NA</v>
      </c>
      <c r="I280" s="8" t="s">
        <v>30</v>
      </c>
    </row>
    <row r="281" spans="1:9" x14ac:dyDescent="0.25">
      <c r="A281">
        <v>1</v>
      </c>
      <c r="B281" s="5">
        <v>0.52405092592592595</v>
      </c>
      <c r="D281" s="6" t="s">
        <v>12</v>
      </c>
      <c r="E281" s="7" t="s">
        <v>22</v>
      </c>
      <c r="F281" s="7" t="s">
        <v>38</v>
      </c>
      <c r="G281" s="8" t="s">
        <v>30</v>
      </c>
      <c r="H281" s="8" t="s">
        <v>30</v>
      </c>
      <c r="I281" s="8" t="str">
        <f t="shared" si="15"/>
        <v>NA</v>
      </c>
    </row>
    <row r="282" spans="1:9" x14ac:dyDescent="0.25">
      <c r="A282">
        <v>1</v>
      </c>
      <c r="B282" s="5">
        <v>0.5259490740740741</v>
      </c>
      <c r="D282" s="6" t="s">
        <v>12</v>
      </c>
      <c r="E282" s="7" t="s">
        <v>22</v>
      </c>
      <c r="F282" s="7" t="s">
        <v>20</v>
      </c>
      <c r="G282" s="8" t="s">
        <v>15</v>
      </c>
      <c r="H282" s="8" t="str">
        <f t="shared" si="14"/>
        <v>NA</v>
      </c>
      <c r="I282" s="8" t="s">
        <v>30</v>
      </c>
    </row>
    <row r="283" spans="1:9" x14ac:dyDescent="0.25">
      <c r="A283">
        <v>1</v>
      </c>
      <c r="B283" s="5">
        <v>0.52768518518518526</v>
      </c>
      <c r="D283" s="6" t="s">
        <v>12</v>
      </c>
      <c r="E283" s="7" t="s">
        <v>22</v>
      </c>
      <c r="F283" s="7" t="s">
        <v>38</v>
      </c>
      <c r="G283" s="8" t="s">
        <v>15</v>
      </c>
      <c r="H283" s="8" t="str">
        <f t="shared" si="14"/>
        <v>NA</v>
      </c>
      <c r="I283" s="8" t="s">
        <v>30</v>
      </c>
    </row>
    <row r="284" spans="1:9" x14ac:dyDescent="0.25">
      <c r="A284">
        <v>1</v>
      </c>
      <c r="B284" s="5">
        <v>0.52842592592592597</v>
      </c>
      <c r="D284" s="6" t="s">
        <v>12</v>
      </c>
      <c r="E284" s="7" t="s">
        <v>22</v>
      </c>
      <c r="F284" s="7" t="s">
        <v>33</v>
      </c>
      <c r="G284" s="8" t="s">
        <v>30</v>
      </c>
      <c r="H284" s="8" t="s">
        <v>30</v>
      </c>
      <c r="I284" s="8" t="str">
        <f t="shared" si="15"/>
        <v>NA</v>
      </c>
    </row>
    <row r="285" spans="1:9" x14ac:dyDescent="0.25">
      <c r="A285">
        <v>1</v>
      </c>
      <c r="B285" s="5">
        <v>0.53023148148148147</v>
      </c>
      <c r="D285" s="6" t="s">
        <v>12</v>
      </c>
      <c r="E285" s="7" t="s">
        <v>22</v>
      </c>
      <c r="F285" s="7" t="s">
        <v>58</v>
      </c>
      <c r="G285" s="8" t="s">
        <v>15</v>
      </c>
      <c r="H285" s="8" t="str">
        <f t="shared" si="14"/>
        <v>NA</v>
      </c>
      <c r="I285" s="8" t="s">
        <v>30</v>
      </c>
    </row>
    <row r="286" spans="1:9" x14ac:dyDescent="0.25">
      <c r="A286">
        <v>1</v>
      </c>
      <c r="B286" s="5">
        <v>0.53129629629629627</v>
      </c>
      <c r="D286" s="6" t="s">
        <v>12</v>
      </c>
      <c r="E286" s="7" t="s">
        <v>22</v>
      </c>
      <c r="F286" s="7" t="s">
        <v>33</v>
      </c>
      <c r="G286" s="8" t="s">
        <v>15</v>
      </c>
      <c r="H286" s="8" t="str">
        <f t="shared" si="14"/>
        <v>NA</v>
      </c>
      <c r="I286" s="8" t="s">
        <v>30</v>
      </c>
    </row>
    <row r="287" spans="1:9" x14ac:dyDescent="0.25">
      <c r="A287">
        <v>1</v>
      </c>
      <c r="B287" s="5">
        <v>0.53187499999999999</v>
      </c>
      <c r="D287" s="6" t="s">
        <v>12</v>
      </c>
      <c r="E287" s="7" t="s">
        <v>22</v>
      </c>
      <c r="F287" s="7" t="s">
        <v>38</v>
      </c>
      <c r="G287" s="8" t="s">
        <v>15</v>
      </c>
      <c r="H287" s="8" t="str">
        <f t="shared" si="14"/>
        <v>NA</v>
      </c>
      <c r="I287" s="8" t="s">
        <v>30</v>
      </c>
    </row>
    <row r="288" spans="1:9" x14ac:dyDescent="0.25">
      <c r="A288">
        <v>1</v>
      </c>
      <c r="B288" s="5">
        <v>0.53370370370370368</v>
      </c>
      <c r="D288" s="6" t="s">
        <v>12</v>
      </c>
      <c r="E288" s="7" t="s">
        <v>22</v>
      </c>
      <c r="F288" s="7" t="s">
        <v>38</v>
      </c>
      <c r="G288" s="8" t="s">
        <v>15</v>
      </c>
      <c r="H288" s="8" t="str">
        <f t="shared" si="14"/>
        <v>NA</v>
      </c>
      <c r="I288" s="8" t="s">
        <v>30</v>
      </c>
    </row>
    <row r="289" spans="1:9" x14ac:dyDescent="0.25">
      <c r="A289">
        <v>1</v>
      </c>
      <c r="B289" s="5">
        <v>0.5352662037037037</v>
      </c>
      <c r="D289" s="6" t="s">
        <v>12</v>
      </c>
      <c r="E289" s="7" t="s">
        <v>22</v>
      </c>
      <c r="F289" s="7" t="s">
        <v>33</v>
      </c>
      <c r="G289" s="8" t="s">
        <v>15</v>
      </c>
      <c r="H289" s="8" t="str">
        <f t="shared" si="14"/>
        <v>NA</v>
      </c>
      <c r="I289" s="8" t="s">
        <v>30</v>
      </c>
    </row>
    <row r="290" spans="1:9" x14ac:dyDescent="0.25">
      <c r="A290">
        <v>1</v>
      </c>
      <c r="B290" s="5">
        <v>0.53561342592592587</v>
      </c>
      <c r="D290" s="6" t="s">
        <v>12</v>
      </c>
      <c r="E290" s="7" t="s">
        <v>24</v>
      </c>
      <c r="F290" s="7" t="s">
        <v>42</v>
      </c>
      <c r="H290" s="8" t="str">
        <f t="shared" si="14"/>
        <v/>
      </c>
      <c r="I290" s="8" t="str">
        <f t="shared" si="15"/>
        <v/>
      </c>
    </row>
    <row r="291" spans="1:9" x14ac:dyDescent="0.25">
      <c r="A291">
        <v>1</v>
      </c>
      <c r="B291" s="5">
        <v>0.53597222222222218</v>
      </c>
      <c r="D291" s="6" t="s">
        <v>12</v>
      </c>
      <c r="E291" s="7" t="s">
        <v>42</v>
      </c>
      <c r="F291" s="7" t="s">
        <v>24</v>
      </c>
      <c r="H291" s="8" t="str">
        <f t="shared" si="14"/>
        <v/>
      </c>
      <c r="I291" s="8" t="str">
        <f t="shared" si="15"/>
        <v/>
      </c>
    </row>
    <row r="292" spans="1:9" x14ac:dyDescent="0.25">
      <c r="A292">
        <v>1</v>
      </c>
      <c r="B292" s="5">
        <v>0.54216435185185186</v>
      </c>
      <c r="D292" s="6" t="s">
        <v>12</v>
      </c>
      <c r="E292" s="7" t="s">
        <v>22</v>
      </c>
      <c r="F292" s="7" t="s">
        <v>58</v>
      </c>
      <c r="G292" s="8" t="s">
        <v>15</v>
      </c>
      <c r="H292" s="8" t="str">
        <f t="shared" si="14"/>
        <v>NA</v>
      </c>
      <c r="I292" s="8" t="s">
        <v>30</v>
      </c>
    </row>
    <row r="293" spans="1:9" x14ac:dyDescent="0.25">
      <c r="A293">
        <v>1</v>
      </c>
      <c r="B293" s="5">
        <v>0.54744212962962957</v>
      </c>
      <c r="D293" s="6" t="s">
        <v>21</v>
      </c>
      <c r="E293" s="7" t="s">
        <v>32</v>
      </c>
      <c r="F293" s="7" t="s">
        <v>26</v>
      </c>
      <c r="G293" s="8" t="s">
        <v>30</v>
      </c>
      <c r="H293" s="8" t="s">
        <v>15</v>
      </c>
      <c r="I293" s="8" t="s">
        <v>15</v>
      </c>
    </row>
    <row r="294" spans="1:9" x14ac:dyDescent="0.25">
      <c r="A294">
        <v>1</v>
      </c>
      <c r="B294" s="5">
        <v>0.54857638888888893</v>
      </c>
      <c r="D294" s="6" t="s">
        <v>12</v>
      </c>
      <c r="E294" s="7" t="s">
        <v>42</v>
      </c>
      <c r="F294" s="7" t="s">
        <v>38</v>
      </c>
      <c r="G294" s="8" t="s">
        <v>30</v>
      </c>
      <c r="H294" s="8" t="s">
        <v>30</v>
      </c>
      <c r="I294" s="8" t="str">
        <f t="shared" si="15"/>
        <v>NA</v>
      </c>
    </row>
    <row r="295" spans="1:9" x14ac:dyDescent="0.25">
      <c r="A295">
        <v>1</v>
      </c>
      <c r="B295" s="5">
        <v>0.55304398148148148</v>
      </c>
      <c r="D295" s="6" t="s">
        <v>12</v>
      </c>
      <c r="E295" s="7" t="s">
        <v>19</v>
      </c>
      <c r="F295" s="7" t="s">
        <v>42</v>
      </c>
      <c r="H295" s="8" t="str">
        <f t="shared" ref="H295:H354" si="16">IF(G295 = "n", "NA", "")</f>
        <v/>
      </c>
      <c r="I295" s="8" t="str">
        <f t="shared" si="15"/>
        <v/>
      </c>
    </row>
    <row r="296" spans="1:9" x14ac:dyDescent="0.25">
      <c r="A296">
        <v>1</v>
      </c>
      <c r="B296" s="5">
        <v>0.55379629629629623</v>
      </c>
      <c r="D296" s="6" t="s">
        <v>12</v>
      </c>
      <c r="E296" s="7" t="s">
        <v>22</v>
      </c>
      <c r="F296" s="7" t="s">
        <v>42</v>
      </c>
      <c r="G296" s="8" t="s">
        <v>30</v>
      </c>
      <c r="H296" s="8" t="s">
        <v>30</v>
      </c>
      <c r="I296" s="8" t="str">
        <f t="shared" si="15"/>
        <v>NA</v>
      </c>
    </row>
    <row r="297" spans="1:9" x14ac:dyDescent="0.25">
      <c r="A297">
        <v>1</v>
      </c>
      <c r="B297" s="5">
        <v>0.5553703703703704</v>
      </c>
      <c r="D297" s="6" t="s">
        <v>12</v>
      </c>
      <c r="E297" s="7" t="s">
        <v>22</v>
      </c>
      <c r="F297" s="7" t="s">
        <v>58</v>
      </c>
      <c r="G297" s="8" t="s">
        <v>15</v>
      </c>
      <c r="H297" s="8" t="str">
        <f t="shared" si="16"/>
        <v>NA</v>
      </c>
      <c r="I297" s="8" t="s">
        <v>30</v>
      </c>
    </row>
    <row r="298" spans="1:9" x14ac:dyDescent="0.25">
      <c r="A298">
        <v>1</v>
      </c>
      <c r="B298" s="5">
        <v>0.56018518518518523</v>
      </c>
      <c r="D298" s="6" t="s">
        <v>12</v>
      </c>
      <c r="E298" s="7" t="s">
        <v>22</v>
      </c>
      <c r="F298" s="7" t="s">
        <v>33</v>
      </c>
      <c r="G298" s="8" t="s">
        <v>15</v>
      </c>
      <c r="H298" s="8" t="str">
        <f t="shared" si="16"/>
        <v>NA</v>
      </c>
      <c r="I298" s="8" t="s">
        <v>30</v>
      </c>
    </row>
    <row r="299" spans="1:9" x14ac:dyDescent="0.25">
      <c r="A299">
        <v>1</v>
      </c>
      <c r="B299" s="5">
        <v>0.56107638888888889</v>
      </c>
      <c r="D299" s="6" t="s">
        <v>12</v>
      </c>
      <c r="E299" s="7" t="s">
        <v>17</v>
      </c>
      <c r="F299" s="7" t="s">
        <v>25</v>
      </c>
      <c r="H299" s="8" t="str">
        <f t="shared" si="16"/>
        <v/>
      </c>
      <c r="I299" s="8" t="str">
        <f t="shared" si="15"/>
        <v/>
      </c>
    </row>
    <row r="300" spans="1:9" x14ac:dyDescent="0.25">
      <c r="A300">
        <v>1</v>
      </c>
      <c r="B300" s="5">
        <v>0.56146990740740743</v>
      </c>
      <c r="C300" s="5"/>
      <c r="D300" s="6" t="s">
        <v>12</v>
      </c>
      <c r="E300" s="7" t="s">
        <v>22</v>
      </c>
      <c r="F300" s="7" t="s">
        <v>25</v>
      </c>
      <c r="H300" s="8" t="str">
        <f t="shared" si="16"/>
        <v/>
      </c>
      <c r="I300" s="8" t="str">
        <f t="shared" si="15"/>
        <v/>
      </c>
    </row>
    <row r="301" spans="1:9" x14ac:dyDescent="0.25">
      <c r="A301">
        <v>1</v>
      </c>
      <c r="B301" s="5">
        <v>0.56148148148148147</v>
      </c>
      <c r="D301" s="6" t="s">
        <v>12</v>
      </c>
      <c r="E301" s="7" t="s">
        <v>22</v>
      </c>
      <c r="F301" s="7" t="s">
        <v>58</v>
      </c>
      <c r="G301" s="8" t="s">
        <v>15</v>
      </c>
      <c r="H301" s="8" t="str">
        <f t="shared" si="16"/>
        <v>NA</v>
      </c>
      <c r="I301" s="8" t="s">
        <v>30</v>
      </c>
    </row>
    <row r="302" spans="1:9" x14ac:dyDescent="0.25">
      <c r="A302">
        <v>1</v>
      </c>
      <c r="B302" s="5">
        <v>0.56231481481481482</v>
      </c>
      <c r="D302" s="6" t="s">
        <v>12</v>
      </c>
      <c r="E302" s="7" t="s">
        <v>25</v>
      </c>
      <c r="F302" s="7" t="s">
        <v>18</v>
      </c>
      <c r="G302" s="8" t="s">
        <v>15</v>
      </c>
      <c r="H302" s="8" t="str">
        <f t="shared" si="16"/>
        <v>NA</v>
      </c>
      <c r="I302" s="8" t="s">
        <v>30</v>
      </c>
    </row>
    <row r="303" spans="1:9" x14ac:dyDescent="0.25">
      <c r="A303">
        <v>1</v>
      </c>
      <c r="B303" s="5">
        <v>0.56245370370370373</v>
      </c>
      <c r="D303" s="6" t="s">
        <v>12</v>
      </c>
      <c r="E303" s="7" t="s">
        <v>22</v>
      </c>
      <c r="F303" s="7" t="s">
        <v>49</v>
      </c>
      <c r="G303" s="8" t="s">
        <v>15</v>
      </c>
      <c r="H303" s="8" t="str">
        <f t="shared" si="16"/>
        <v>NA</v>
      </c>
      <c r="I303" s="8" t="s">
        <v>30</v>
      </c>
    </row>
    <row r="304" spans="1:9" x14ac:dyDescent="0.25">
      <c r="A304">
        <v>1</v>
      </c>
      <c r="B304" s="5">
        <v>0.5631828703703704</v>
      </c>
      <c r="D304" s="6" t="s">
        <v>12</v>
      </c>
      <c r="E304" s="7" t="s">
        <v>22</v>
      </c>
      <c r="F304" s="7" t="s">
        <v>49</v>
      </c>
      <c r="G304" s="8" t="s">
        <v>15</v>
      </c>
      <c r="H304" s="8" t="str">
        <f t="shared" si="16"/>
        <v>NA</v>
      </c>
      <c r="I304" s="8" t="s">
        <v>30</v>
      </c>
    </row>
    <row r="305" spans="1:9" x14ac:dyDescent="0.25">
      <c r="A305">
        <v>1</v>
      </c>
      <c r="B305" s="5">
        <v>0.5665972222222222</v>
      </c>
      <c r="C305" s="9" t="s">
        <v>45</v>
      </c>
      <c r="D305" s="6" t="s">
        <v>12</v>
      </c>
      <c r="E305" s="7" t="s">
        <v>22</v>
      </c>
      <c r="F305" s="7" t="s">
        <v>49</v>
      </c>
      <c r="G305" s="8" t="s">
        <v>15</v>
      </c>
      <c r="H305" s="8" t="str">
        <f t="shared" si="16"/>
        <v>NA</v>
      </c>
      <c r="I305" s="8" t="s">
        <v>30</v>
      </c>
    </row>
    <row r="306" spans="1:9" x14ac:dyDescent="0.25">
      <c r="A306">
        <v>1</v>
      </c>
      <c r="B306" s="5">
        <v>0.56657407407407401</v>
      </c>
      <c r="D306" s="6" t="s">
        <v>12</v>
      </c>
      <c r="E306" s="7" t="s">
        <v>25</v>
      </c>
      <c r="F306" s="7" t="s">
        <v>18</v>
      </c>
      <c r="G306" s="8" t="s">
        <v>30</v>
      </c>
      <c r="H306" s="8" t="s">
        <v>30</v>
      </c>
      <c r="I306" s="8" t="str">
        <f t="shared" si="15"/>
        <v>NA</v>
      </c>
    </row>
    <row r="307" spans="1:9" x14ac:dyDescent="0.25">
      <c r="A307">
        <v>1</v>
      </c>
      <c r="B307" s="5">
        <v>0.56715277777777773</v>
      </c>
      <c r="D307" s="6" t="s">
        <v>12</v>
      </c>
      <c r="E307" s="7" t="s">
        <v>16</v>
      </c>
      <c r="F307" s="7" t="s">
        <v>39</v>
      </c>
      <c r="G307" s="8" t="s">
        <v>15</v>
      </c>
      <c r="H307" s="8" t="str">
        <f t="shared" si="16"/>
        <v>NA</v>
      </c>
      <c r="I307" s="8" t="s">
        <v>30</v>
      </c>
    </row>
    <row r="308" spans="1:9" x14ac:dyDescent="0.25">
      <c r="A308">
        <v>1</v>
      </c>
      <c r="B308" s="5">
        <v>0.56783564814814813</v>
      </c>
      <c r="D308" s="6" t="s">
        <v>12</v>
      </c>
      <c r="E308" s="7" t="s">
        <v>22</v>
      </c>
      <c r="F308" s="7" t="s">
        <v>58</v>
      </c>
      <c r="G308" s="8" t="s">
        <v>15</v>
      </c>
      <c r="H308" s="8" t="str">
        <f t="shared" si="16"/>
        <v>NA</v>
      </c>
      <c r="I308" s="8" t="s">
        <v>30</v>
      </c>
    </row>
    <row r="309" spans="1:9" x14ac:dyDescent="0.25">
      <c r="A309">
        <v>1</v>
      </c>
      <c r="B309" s="5">
        <v>0.56806712962962969</v>
      </c>
      <c r="D309" s="6" t="s">
        <v>12</v>
      </c>
      <c r="E309" s="7" t="s">
        <v>25</v>
      </c>
      <c r="F309" s="7" t="s">
        <v>18</v>
      </c>
      <c r="G309" s="8" t="s">
        <v>15</v>
      </c>
      <c r="H309" s="8" t="str">
        <f t="shared" si="16"/>
        <v>NA</v>
      </c>
      <c r="I309" s="8" t="s">
        <v>30</v>
      </c>
    </row>
    <row r="310" spans="1:9" x14ac:dyDescent="0.25">
      <c r="A310">
        <v>1</v>
      </c>
      <c r="B310" s="5">
        <v>0.56836805555555558</v>
      </c>
      <c r="D310" s="6" t="s">
        <v>12</v>
      </c>
      <c r="E310" s="7" t="s">
        <v>25</v>
      </c>
      <c r="F310" s="7" t="s">
        <v>18</v>
      </c>
      <c r="G310" s="8" t="s">
        <v>15</v>
      </c>
      <c r="H310" s="8" t="str">
        <f t="shared" si="16"/>
        <v>NA</v>
      </c>
      <c r="I310" s="8" t="s">
        <v>30</v>
      </c>
    </row>
    <row r="311" spans="1:9" x14ac:dyDescent="0.25">
      <c r="A311">
        <v>1</v>
      </c>
      <c r="B311" s="5">
        <v>0.56881944444444443</v>
      </c>
      <c r="D311" s="6" t="s">
        <v>12</v>
      </c>
      <c r="E311" s="7" t="s">
        <v>25</v>
      </c>
      <c r="F311" s="7" t="s">
        <v>32</v>
      </c>
      <c r="I311" s="8" t="str">
        <f t="shared" si="15"/>
        <v/>
      </c>
    </row>
    <row r="312" spans="1:9" x14ac:dyDescent="0.25">
      <c r="A312">
        <v>1</v>
      </c>
      <c r="B312" s="5">
        <v>0.56915509259259256</v>
      </c>
      <c r="D312" s="6" t="s">
        <v>12</v>
      </c>
      <c r="E312" s="7" t="s">
        <v>25</v>
      </c>
      <c r="F312" s="7" t="s">
        <v>26</v>
      </c>
      <c r="G312" s="8" t="s">
        <v>30</v>
      </c>
      <c r="H312" s="8" t="s">
        <v>30</v>
      </c>
      <c r="I312" s="8" t="str">
        <f t="shared" si="15"/>
        <v>NA</v>
      </c>
    </row>
    <row r="313" spans="1:9" x14ac:dyDescent="0.25">
      <c r="A313">
        <v>1</v>
      </c>
      <c r="B313" s="5">
        <v>0.56916666666666671</v>
      </c>
      <c r="D313" s="6" t="s">
        <v>12</v>
      </c>
      <c r="E313" s="7" t="s">
        <v>25</v>
      </c>
      <c r="F313" s="7" t="s">
        <v>32</v>
      </c>
      <c r="I313" s="8" t="str">
        <f t="shared" si="15"/>
        <v/>
      </c>
    </row>
    <row r="314" spans="1:9" x14ac:dyDescent="0.25">
      <c r="A314">
        <v>1</v>
      </c>
      <c r="B314" s="5">
        <v>0.57040509259259264</v>
      </c>
      <c r="D314" s="6" t="s">
        <v>12</v>
      </c>
      <c r="E314" s="7" t="s">
        <v>25</v>
      </c>
      <c r="F314" s="7" t="s">
        <v>27</v>
      </c>
      <c r="H314" s="8" t="str">
        <f t="shared" si="16"/>
        <v/>
      </c>
      <c r="I314" s="8" t="str">
        <f t="shared" si="15"/>
        <v/>
      </c>
    </row>
    <row r="315" spans="1:9" x14ac:dyDescent="0.25">
      <c r="A315">
        <v>1</v>
      </c>
      <c r="B315" s="5">
        <v>0.57270833333333326</v>
      </c>
      <c r="D315" s="6" t="s">
        <v>12</v>
      </c>
      <c r="E315" s="7" t="s">
        <v>22</v>
      </c>
      <c r="F315" s="7" t="s">
        <v>58</v>
      </c>
      <c r="G315" s="8" t="s">
        <v>30</v>
      </c>
      <c r="H315" s="8" t="s">
        <v>30</v>
      </c>
      <c r="I315" s="8" t="str">
        <f t="shared" si="15"/>
        <v>NA</v>
      </c>
    </row>
    <row r="316" spans="1:9" x14ac:dyDescent="0.25">
      <c r="A316">
        <v>1</v>
      </c>
      <c r="B316" s="5">
        <v>0.57414351851851853</v>
      </c>
      <c r="D316" s="6" t="s">
        <v>12</v>
      </c>
      <c r="E316" s="7" t="s">
        <v>16</v>
      </c>
      <c r="F316" s="7" t="s">
        <v>18</v>
      </c>
      <c r="G316" s="8" t="s">
        <v>15</v>
      </c>
      <c r="H316" s="8" t="str">
        <f t="shared" si="16"/>
        <v>NA</v>
      </c>
      <c r="I316" s="8" t="s">
        <v>30</v>
      </c>
    </row>
    <row r="317" spans="1:9" x14ac:dyDescent="0.25">
      <c r="A317">
        <v>1</v>
      </c>
      <c r="B317" s="5">
        <v>0.57636574074074076</v>
      </c>
      <c r="D317" s="6" t="s">
        <v>12</v>
      </c>
      <c r="E317" s="7" t="s">
        <v>27</v>
      </c>
      <c r="F317" s="7" t="s">
        <v>25</v>
      </c>
      <c r="H317" s="8" t="str">
        <f t="shared" si="16"/>
        <v/>
      </c>
    </row>
    <row r="318" spans="1:9" x14ac:dyDescent="0.25">
      <c r="A318">
        <v>1</v>
      </c>
      <c r="B318" s="5">
        <v>0.57728009259259261</v>
      </c>
      <c r="D318" s="6" t="s">
        <v>12</v>
      </c>
      <c r="E318" s="7" t="s">
        <v>22</v>
      </c>
      <c r="F318" s="7" t="s">
        <v>49</v>
      </c>
      <c r="G318" s="8" t="s">
        <v>30</v>
      </c>
      <c r="H318" s="8" t="s">
        <v>30</v>
      </c>
      <c r="I318" s="8" t="str">
        <f t="shared" si="15"/>
        <v>NA</v>
      </c>
    </row>
    <row r="319" spans="1:9" x14ac:dyDescent="0.25">
      <c r="A319">
        <v>1</v>
      </c>
      <c r="B319" s="5">
        <v>0.57902777777777781</v>
      </c>
      <c r="D319" s="6" t="s">
        <v>12</v>
      </c>
      <c r="E319" s="7" t="s">
        <v>25</v>
      </c>
      <c r="F319" s="7" t="s">
        <v>33</v>
      </c>
      <c r="G319" s="8" t="s">
        <v>15</v>
      </c>
      <c r="H319" s="8" t="str">
        <f t="shared" si="16"/>
        <v>NA</v>
      </c>
      <c r="I319" s="8" t="s">
        <v>30</v>
      </c>
    </row>
    <row r="320" spans="1:9" x14ac:dyDescent="0.25">
      <c r="A320">
        <v>1</v>
      </c>
      <c r="B320" s="5">
        <v>0.58498842592592593</v>
      </c>
      <c r="D320" s="6" t="s">
        <v>12</v>
      </c>
      <c r="E320" s="7" t="s">
        <v>22</v>
      </c>
      <c r="F320" s="7" t="s">
        <v>28</v>
      </c>
      <c r="G320" s="8" t="s">
        <v>30</v>
      </c>
      <c r="H320" s="8" t="s">
        <v>30</v>
      </c>
      <c r="I320" s="8" t="str">
        <f t="shared" si="15"/>
        <v>NA</v>
      </c>
    </row>
    <row r="321" spans="1:10" x14ac:dyDescent="0.25">
      <c r="A321">
        <v>1</v>
      </c>
      <c r="B321" s="5">
        <v>0.58619212962962963</v>
      </c>
      <c r="D321" s="6" t="s">
        <v>12</v>
      </c>
      <c r="E321" s="7" t="s">
        <v>22</v>
      </c>
      <c r="F321" s="7" t="s">
        <v>28</v>
      </c>
      <c r="G321" s="8" t="s">
        <v>15</v>
      </c>
      <c r="H321" s="8" t="str">
        <f t="shared" si="16"/>
        <v>NA</v>
      </c>
      <c r="I321" s="8" t="s">
        <v>30</v>
      </c>
    </row>
    <row r="322" spans="1:10" x14ac:dyDescent="0.25">
      <c r="A322">
        <v>1</v>
      </c>
      <c r="B322" s="5">
        <v>0.58833333333333326</v>
      </c>
      <c r="D322" s="6" t="s">
        <v>21</v>
      </c>
      <c r="E322" s="7" t="s">
        <v>16</v>
      </c>
      <c r="F322" s="7" t="s">
        <v>28</v>
      </c>
      <c r="G322" s="8" t="s">
        <v>15</v>
      </c>
      <c r="H322" s="8" t="str">
        <f t="shared" si="16"/>
        <v>NA</v>
      </c>
      <c r="I322" s="8" t="s">
        <v>30</v>
      </c>
    </row>
    <row r="323" spans="1:10" x14ac:dyDescent="0.25">
      <c r="A323">
        <v>1</v>
      </c>
      <c r="B323" s="5">
        <v>0.59085648148148151</v>
      </c>
      <c r="D323" s="6" t="s">
        <v>12</v>
      </c>
      <c r="E323" s="7" t="s">
        <v>22</v>
      </c>
      <c r="F323" s="7" t="s">
        <v>22</v>
      </c>
      <c r="G323" s="8" t="s">
        <v>30</v>
      </c>
      <c r="H323" s="8" t="s">
        <v>30</v>
      </c>
      <c r="I323" s="8" t="str">
        <f t="shared" si="15"/>
        <v>NA</v>
      </c>
    </row>
    <row r="324" spans="1:10" x14ac:dyDescent="0.25">
      <c r="A324">
        <v>1</v>
      </c>
      <c r="B324" s="5">
        <v>0.59275462962962966</v>
      </c>
      <c r="D324" s="6" t="s">
        <v>12</v>
      </c>
      <c r="E324" s="7" t="s">
        <v>22</v>
      </c>
      <c r="F324" s="7" t="s">
        <v>18</v>
      </c>
      <c r="G324" s="8" t="s">
        <v>15</v>
      </c>
      <c r="H324" s="8" t="str">
        <f t="shared" si="16"/>
        <v>NA</v>
      </c>
      <c r="I324" s="8" t="s">
        <v>30</v>
      </c>
    </row>
    <row r="325" spans="1:10" x14ac:dyDescent="0.25">
      <c r="A325">
        <v>1</v>
      </c>
      <c r="B325" s="5">
        <v>0.59393518518518518</v>
      </c>
      <c r="D325" s="6" t="s">
        <v>12</v>
      </c>
      <c r="E325" s="7" t="s">
        <v>25</v>
      </c>
      <c r="F325" s="7" t="s">
        <v>22</v>
      </c>
      <c r="G325" s="8" t="s">
        <v>30</v>
      </c>
      <c r="H325" s="8" t="s">
        <v>30</v>
      </c>
      <c r="I325" s="8" t="str">
        <f t="shared" si="15"/>
        <v>NA</v>
      </c>
    </row>
    <row r="326" spans="1:10" x14ac:dyDescent="0.25">
      <c r="A326">
        <v>1</v>
      </c>
      <c r="B326" s="5">
        <v>0.59591435185185182</v>
      </c>
      <c r="D326" s="6" t="s">
        <v>12</v>
      </c>
      <c r="E326" s="7" t="s">
        <v>22</v>
      </c>
      <c r="F326" s="7" t="s">
        <v>23</v>
      </c>
      <c r="G326" s="8" t="s">
        <v>30</v>
      </c>
      <c r="H326" s="8" t="s">
        <v>15</v>
      </c>
      <c r="I326" s="8" t="s">
        <v>30</v>
      </c>
    </row>
    <row r="327" spans="1:10" x14ac:dyDescent="0.25">
      <c r="A327">
        <v>1</v>
      </c>
      <c r="B327" s="5">
        <v>0.59625000000000006</v>
      </c>
      <c r="D327" s="6" t="s">
        <v>12</v>
      </c>
      <c r="E327" s="7" t="s">
        <v>25</v>
      </c>
      <c r="F327" s="7" t="s">
        <v>18</v>
      </c>
      <c r="G327" s="8" t="s">
        <v>30</v>
      </c>
      <c r="H327" s="8" t="s">
        <v>15</v>
      </c>
      <c r="I327" s="8" t="s">
        <v>30</v>
      </c>
      <c r="J327" s="20" t="s">
        <v>61</v>
      </c>
    </row>
    <row r="328" spans="1:10" x14ac:dyDescent="0.25">
      <c r="A328">
        <v>1</v>
      </c>
      <c r="B328" s="5">
        <v>0.59854166666666664</v>
      </c>
      <c r="D328" s="6" t="s">
        <v>12</v>
      </c>
      <c r="E328" s="7" t="s">
        <v>13</v>
      </c>
      <c r="F328" s="7" t="s">
        <v>19</v>
      </c>
      <c r="H328" s="8" t="str">
        <f t="shared" si="16"/>
        <v/>
      </c>
      <c r="I328" s="8" t="str">
        <f t="shared" si="15"/>
        <v/>
      </c>
    </row>
    <row r="329" spans="1:10" x14ac:dyDescent="0.25">
      <c r="A329">
        <v>1</v>
      </c>
      <c r="B329" s="5">
        <v>0.59915509259259259</v>
      </c>
      <c r="D329" s="6" t="s">
        <v>12</v>
      </c>
      <c r="E329" s="7" t="s">
        <v>42</v>
      </c>
      <c r="F329" s="7" t="s">
        <v>19</v>
      </c>
      <c r="H329" s="8" t="str">
        <f t="shared" si="16"/>
        <v/>
      </c>
      <c r="I329" s="8" t="str">
        <f t="shared" si="15"/>
        <v/>
      </c>
    </row>
    <row r="330" spans="1:10" x14ac:dyDescent="0.25">
      <c r="A330">
        <v>1</v>
      </c>
      <c r="B330" s="5">
        <v>0.59916666666666674</v>
      </c>
      <c r="D330" s="6" t="s">
        <v>12</v>
      </c>
      <c r="E330" s="7" t="s">
        <v>13</v>
      </c>
      <c r="F330" s="7" t="s">
        <v>42</v>
      </c>
      <c r="H330" s="8" t="str">
        <f t="shared" si="16"/>
        <v/>
      </c>
      <c r="I330" s="8" t="str">
        <f t="shared" si="15"/>
        <v/>
      </c>
    </row>
    <row r="331" spans="1:10" x14ac:dyDescent="0.25">
      <c r="A331">
        <v>1</v>
      </c>
      <c r="B331" s="5">
        <v>0.59998842592592594</v>
      </c>
      <c r="C331" s="5"/>
      <c r="D331" s="6" t="s">
        <v>21</v>
      </c>
      <c r="E331" s="7" t="s">
        <v>13</v>
      </c>
      <c r="F331" s="7" t="s">
        <v>14</v>
      </c>
      <c r="G331" s="8" t="s">
        <v>15</v>
      </c>
      <c r="H331" s="8" t="str">
        <f t="shared" si="16"/>
        <v>NA</v>
      </c>
      <c r="I331" s="8" t="s">
        <v>30</v>
      </c>
    </row>
    <row r="332" spans="1:10" x14ac:dyDescent="0.25">
      <c r="A332">
        <v>1</v>
      </c>
      <c r="B332" s="5">
        <v>0.60039351851851852</v>
      </c>
      <c r="D332" s="6" t="s">
        <v>12</v>
      </c>
      <c r="E332" s="7" t="s">
        <v>42</v>
      </c>
      <c r="F332" s="7" t="s">
        <v>13</v>
      </c>
      <c r="H332" s="8" t="str">
        <f t="shared" si="16"/>
        <v/>
      </c>
      <c r="I332" s="8" t="str">
        <f t="shared" si="15"/>
        <v/>
      </c>
    </row>
    <row r="333" spans="1:10" x14ac:dyDescent="0.25">
      <c r="A333">
        <v>1</v>
      </c>
      <c r="B333" s="5">
        <v>0.60046296296296298</v>
      </c>
      <c r="D333" s="6" t="s">
        <v>12</v>
      </c>
      <c r="E333" s="7" t="s">
        <v>17</v>
      </c>
      <c r="F333" s="7" t="s">
        <v>26</v>
      </c>
      <c r="G333" s="8" t="s">
        <v>15</v>
      </c>
      <c r="H333" s="8" t="str">
        <f t="shared" si="16"/>
        <v>NA</v>
      </c>
      <c r="I333" s="8" t="s">
        <v>30</v>
      </c>
    </row>
    <row r="334" spans="1:10" x14ac:dyDescent="0.25">
      <c r="A334">
        <v>1</v>
      </c>
      <c r="B334" s="5">
        <v>0.60114583333333338</v>
      </c>
      <c r="D334" s="6" t="s">
        <v>12</v>
      </c>
      <c r="E334" s="7" t="s">
        <v>42</v>
      </c>
      <c r="F334" s="7" t="s">
        <v>13</v>
      </c>
      <c r="H334" s="8" t="str">
        <f t="shared" si="16"/>
        <v/>
      </c>
      <c r="I334" s="8" t="str">
        <f t="shared" si="15"/>
        <v/>
      </c>
    </row>
    <row r="335" spans="1:10" x14ac:dyDescent="0.25">
      <c r="A335">
        <v>1</v>
      </c>
      <c r="B335" s="5">
        <v>0.6017245370370371</v>
      </c>
      <c r="D335" s="6" t="s">
        <v>12</v>
      </c>
      <c r="E335" s="7" t="s">
        <v>42</v>
      </c>
      <c r="F335" s="7" t="s">
        <v>13</v>
      </c>
      <c r="G335" s="8" t="s">
        <v>30</v>
      </c>
      <c r="H335" s="8" t="s">
        <v>30</v>
      </c>
      <c r="I335" s="8" t="str">
        <f t="shared" ref="I335:I397" si="17">IF(H335 = "y", "NA", "")</f>
        <v>NA</v>
      </c>
    </row>
    <row r="336" spans="1:10" x14ac:dyDescent="0.25">
      <c r="A336">
        <v>1</v>
      </c>
      <c r="B336" s="5">
        <v>0.60311342592592598</v>
      </c>
      <c r="D336" s="6" t="s">
        <v>12</v>
      </c>
      <c r="E336" s="7" t="s">
        <v>22</v>
      </c>
      <c r="F336" s="7" t="s">
        <v>13</v>
      </c>
      <c r="H336" s="8" t="str">
        <f t="shared" si="16"/>
        <v/>
      </c>
      <c r="I336" s="8" t="str">
        <f t="shared" si="17"/>
        <v/>
      </c>
    </row>
    <row r="337" spans="1:9" x14ac:dyDescent="0.25">
      <c r="A337">
        <v>1</v>
      </c>
      <c r="B337" s="5">
        <v>0.6036921296296297</v>
      </c>
      <c r="D337" s="6" t="s">
        <v>12</v>
      </c>
      <c r="E337" s="7" t="s">
        <v>13</v>
      </c>
      <c r="F337" s="7" t="s">
        <v>26</v>
      </c>
      <c r="G337" s="8" t="s">
        <v>30</v>
      </c>
      <c r="H337" s="8" t="s">
        <v>30</v>
      </c>
      <c r="I337" s="8" t="str">
        <f t="shared" si="17"/>
        <v>NA</v>
      </c>
    </row>
    <row r="338" spans="1:9" x14ac:dyDescent="0.25">
      <c r="A338">
        <v>1</v>
      </c>
      <c r="B338" s="5">
        <v>0.60422453703703705</v>
      </c>
      <c r="D338" s="6" t="s">
        <v>12</v>
      </c>
      <c r="E338" s="7" t="s">
        <v>13</v>
      </c>
      <c r="F338" s="7" t="s">
        <v>18</v>
      </c>
      <c r="G338" s="8" t="s">
        <v>15</v>
      </c>
      <c r="H338" s="8" t="str">
        <f t="shared" si="16"/>
        <v>NA</v>
      </c>
      <c r="I338" s="8" t="s">
        <v>30</v>
      </c>
    </row>
    <row r="339" spans="1:9" x14ac:dyDescent="0.25">
      <c r="A339">
        <v>1</v>
      </c>
      <c r="B339" s="5">
        <v>0.60458333333333336</v>
      </c>
      <c r="D339" s="6" t="s">
        <v>12</v>
      </c>
      <c r="E339" s="7" t="s">
        <v>13</v>
      </c>
      <c r="F339" s="7" t="s">
        <v>20</v>
      </c>
      <c r="G339" s="8" t="s">
        <v>15</v>
      </c>
      <c r="H339" s="8" t="str">
        <f t="shared" si="16"/>
        <v>NA</v>
      </c>
      <c r="I339" s="8" t="s">
        <v>30</v>
      </c>
    </row>
    <row r="340" spans="1:9" x14ac:dyDescent="0.25">
      <c r="A340">
        <v>1</v>
      </c>
      <c r="B340" s="5">
        <v>0.6056597222222222</v>
      </c>
      <c r="D340" s="6" t="s">
        <v>12</v>
      </c>
      <c r="E340" s="7" t="s">
        <v>9</v>
      </c>
      <c r="F340" s="7" t="s">
        <v>20</v>
      </c>
      <c r="G340" s="8" t="s">
        <v>15</v>
      </c>
      <c r="H340" s="8" t="str">
        <f t="shared" si="16"/>
        <v>NA</v>
      </c>
      <c r="I340" s="8" t="s">
        <v>30</v>
      </c>
    </row>
    <row r="341" spans="1:9" x14ac:dyDescent="0.25">
      <c r="A341">
        <v>1</v>
      </c>
      <c r="B341" s="5">
        <v>0.60648148148148151</v>
      </c>
      <c r="D341" s="6" t="s">
        <v>12</v>
      </c>
      <c r="E341" s="7" t="s">
        <v>9</v>
      </c>
      <c r="F341" s="7" t="s">
        <v>26</v>
      </c>
      <c r="G341" s="8" t="s">
        <v>30</v>
      </c>
      <c r="H341" s="8" t="s">
        <v>30</v>
      </c>
      <c r="I341" s="8" t="str">
        <f t="shared" si="17"/>
        <v>NA</v>
      </c>
    </row>
    <row r="342" spans="1:9" x14ac:dyDescent="0.25">
      <c r="A342">
        <v>1</v>
      </c>
      <c r="B342" s="5">
        <v>0.60758101851851853</v>
      </c>
      <c r="D342" s="6" t="s">
        <v>12</v>
      </c>
      <c r="E342" s="7" t="s">
        <v>25</v>
      </c>
      <c r="F342" s="7" t="s">
        <v>27</v>
      </c>
      <c r="H342" s="8" t="str">
        <f t="shared" si="16"/>
        <v/>
      </c>
      <c r="I342" s="8" t="str">
        <f t="shared" si="17"/>
        <v/>
      </c>
    </row>
    <row r="343" spans="1:9" x14ac:dyDescent="0.25">
      <c r="A343">
        <v>1</v>
      </c>
      <c r="B343" s="5">
        <v>0.60797453703703697</v>
      </c>
      <c r="D343" s="6" t="s">
        <v>12</v>
      </c>
      <c r="E343" s="7" t="s">
        <v>13</v>
      </c>
      <c r="F343" s="7" t="s">
        <v>9</v>
      </c>
      <c r="H343" s="8" t="str">
        <f t="shared" si="16"/>
        <v/>
      </c>
      <c r="I343" s="8" t="str">
        <f t="shared" si="17"/>
        <v/>
      </c>
    </row>
    <row r="344" spans="1:9" x14ac:dyDescent="0.25">
      <c r="A344">
        <v>1</v>
      </c>
      <c r="B344" s="5">
        <v>8</v>
      </c>
      <c r="C344" s="5"/>
      <c r="D344" s="6" t="s">
        <v>21</v>
      </c>
      <c r="E344" s="7" t="s">
        <v>13</v>
      </c>
      <c r="F344" s="7" t="s">
        <v>26</v>
      </c>
      <c r="G344" s="8" t="s">
        <v>30</v>
      </c>
      <c r="H344" s="8" t="s">
        <v>15</v>
      </c>
      <c r="I344" s="8" t="s">
        <v>31</v>
      </c>
    </row>
    <row r="345" spans="1:9" x14ac:dyDescent="0.25">
      <c r="A345">
        <v>1</v>
      </c>
      <c r="B345" s="5">
        <v>0.60888888888888892</v>
      </c>
      <c r="D345" s="6" t="s">
        <v>12</v>
      </c>
      <c r="E345" s="7" t="s">
        <v>22</v>
      </c>
      <c r="F345" s="7" t="s">
        <v>58</v>
      </c>
      <c r="G345" s="8" t="s">
        <v>15</v>
      </c>
      <c r="H345" s="8" t="str">
        <f t="shared" si="16"/>
        <v>NA</v>
      </c>
      <c r="I345" s="8" t="s">
        <v>30</v>
      </c>
    </row>
    <row r="346" spans="1:9" x14ac:dyDescent="0.25">
      <c r="A346">
        <v>1</v>
      </c>
      <c r="B346" s="5">
        <v>0.61076388888888888</v>
      </c>
      <c r="D346" s="6" t="s">
        <v>12</v>
      </c>
      <c r="E346" s="7" t="s">
        <v>9</v>
      </c>
      <c r="F346" s="7" t="s">
        <v>14</v>
      </c>
      <c r="G346" s="8" t="s">
        <v>30</v>
      </c>
      <c r="H346" s="8" t="s">
        <v>30</v>
      </c>
      <c r="I346" s="8" t="str">
        <f t="shared" si="17"/>
        <v>NA</v>
      </c>
    </row>
    <row r="347" spans="1:9" x14ac:dyDescent="0.25">
      <c r="A347">
        <v>1</v>
      </c>
      <c r="B347" s="5">
        <v>0.61248842592592589</v>
      </c>
      <c r="D347" s="6" t="s">
        <v>12</v>
      </c>
      <c r="E347" s="7" t="s">
        <v>9</v>
      </c>
      <c r="F347" s="7" t="s">
        <v>49</v>
      </c>
      <c r="G347" s="8" t="s">
        <v>30</v>
      </c>
      <c r="H347" s="8" t="s">
        <v>15</v>
      </c>
      <c r="I347" s="8" t="s">
        <v>30</v>
      </c>
    </row>
    <row r="348" spans="1:9" x14ac:dyDescent="0.25">
      <c r="A348">
        <v>1</v>
      </c>
      <c r="B348" s="5">
        <v>0.61296296296296293</v>
      </c>
      <c r="D348" s="6" t="s">
        <v>21</v>
      </c>
      <c r="E348" s="7" t="s">
        <v>9</v>
      </c>
      <c r="F348" s="7" t="s">
        <v>49</v>
      </c>
      <c r="G348" s="8" t="s">
        <v>15</v>
      </c>
      <c r="H348" s="8" t="str">
        <f t="shared" si="16"/>
        <v>NA</v>
      </c>
      <c r="I348" s="8" t="s">
        <v>15</v>
      </c>
    </row>
    <row r="349" spans="1:9" x14ac:dyDescent="0.25">
      <c r="A349">
        <v>1</v>
      </c>
      <c r="B349" s="5">
        <v>0.61866898148148153</v>
      </c>
      <c r="D349" s="6" t="s">
        <v>12</v>
      </c>
      <c r="E349" s="7" t="s">
        <v>19</v>
      </c>
      <c r="F349" s="7" t="s">
        <v>42</v>
      </c>
      <c r="G349" s="8" t="s">
        <v>15</v>
      </c>
      <c r="H349" s="8" t="str">
        <f t="shared" si="16"/>
        <v>NA</v>
      </c>
      <c r="I349" s="8" t="s">
        <v>30</v>
      </c>
    </row>
    <row r="350" spans="1:9" x14ac:dyDescent="0.25">
      <c r="A350">
        <v>1</v>
      </c>
      <c r="B350" s="5">
        <v>0.61913194444444442</v>
      </c>
      <c r="D350" s="6" t="s">
        <v>12</v>
      </c>
      <c r="E350" s="7" t="s">
        <v>25</v>
      </c>
      <c r="F350" s="7" t="s">
        <v>27</v>
      </c>
      <c r="H350" s="8" t="str">
        <f t="shared" si="16"/>
        <v/>
      </c>
      <c r="I350" s="8" t="str">
        <f t="shared" si="17"/>
        <v/>
      </c>
    </row>
    <row r="351" spans="1:9" x14ac:dyDescent="0.25">
      <c r="A351">
        <v>1</v>
      </c>
      <c r="B351" s="5">
        <v>0.63087962962962962</v>
      </c>
      <c r="D351" s="6" t="s">
        <v>21</v>
      </c>
      <c r="E351" s="7" t="s">
        <v>16</v>
      </c>
      <c r="F351" s="7" t="s">
        <v>26</v>
      </c>
      <c r="G351" s="8" t="s">
        <v>30</v>
      </c>
      <c r="H351" s="8" t="s">
        <v>15</v>
      </c>
      <c r="I351" s="8" t="s">
        <v>15</v>
      </c>
    </row>
    <row r="352" spans="1:9" x14ac:dyDescent="0.25">
      <c r="A352">
        <v>1</v>
      </c>
      <c r="B352" s="5">
        <v>0.63491898148148151</v>
      </c>
      <c r="C352" s="5">
        <v>0.6355439814814815</v>
      </c>
      <c r="D352" s="6" t="s">
        <v>21</v>
      </c>
      <c r="E352" s="7" t="s">
        <v>16</v>
      </c>
      <c r="F352" s="7" t="s">
        <v>14</v>
      </c>
      <c r="G352" s="8" t="s">
        <v>15</v>
      </c>
      <c r="H352" s="8" t="str">
        <f t="shared" si="16"/>
        <v>NA</v>
      </c>
      <c r="I352" s="8" t="s">
        <v>15</v>
      </c>
    </row>
    <row r="353" spans="1:10" x14ac:dyDescent="0.25">
      <c r="A353">
        <v>1</v>
      </c>
      <c r="B353" s="5">
        <v>0.63825231481481481</v>
      </c>
      <c r="D353" s="6" t="s">
        <v>12</v>
      </c>
      <c r="E353" s="7" t="s">
        <v>22</v>
      </c>
      <c r="F353" s="7" t="s">
        <v>47</v>
      </c>
      <c r="G353" s="8" t="s">
        <v>30</v>
      </c>
      <c r="H353" s="8" t="s">
        <v>30</v>
      </c>
      <c r="I353" s="8" t="str">
        <f t="shared" si="17"/>
        <v>NA</v>
      </c>
    </row>
    <row r="354" spans="1:10" x14ac:dyDescent="0.25">
      <c r="A354">
        <v>1</v>
      </c>
      <c r="B354" s="5">
        <v>0.64103009259259258</v>
      </c>
      <c r="D354" s="6" t="s">
        <v>12</v>
      </c>
      <c r="E354" s="7" t="s">
        <v>13</v>
      </c>
      <c r="F354" s="7" t="s">
        <v>14</v>
      </c>
      <c r="G354" s="8" t="s">
        <v>15</v>
      </c>
      <c r="H354" s="8" t="str">
        <f t="shared" si="16"/>
        <v>NA</v>
      </c>
      <c r="I354" s="8" t="s">
        <v>30</v>
      </c>
    </row>
    <row r="355" spans="1:10" x14ac:dyDescent="0.25">
      <c r="A355">
        <v>1</v>
      </c>
      <c r="B355" s="5">
        <v>0.64278935185185182</v>
      </c>
      <c r="D355" s="6" t="s">
        <v>12</v>
      </c>
      <c r="E355" s="7" t="s">
        <v>22</v>
      </c>
      <c r="F355" s="7" t="s">
        <v>18</v>
      </c>
      <c r="G355" s="8" t="s">
        <v>15</v>
      </c>
      <c r="H355" s="8" t="str">
        <f t="shared" ref="H355:H417" si="18">IF(G355 = "n", "NA", "")</f>
        <v>NA</v>
      </c>
      <c r="I355" s="8" t="s">
        <v>30</v>
      </c>
    </row>
    <row r="356" spans="1:10" x14ac:dyDescent="0.25">
      <c r="A356">
        <v>1</v>
      </c>
      <c r="B356" s="5">
        <v>0.64318287037037036</v>
      </c>
      <c r="D356" s="6" t="s">
        <v>12</v>
      </c>
      <c r="E356" s="7" t="s">
        <v>16</v>
      </c>
      <c r="F356" s="7" t="s">
        <v>33</v>
      </c>
      <c r="G356" s="8" t="s">
        <v>15</v>
      </c>
      <c r="H356" s="8" t="s">
        <v>31</v>
      </c>
      <c r="I356" s="8" t="s">
        <v>30</v>
      </c>
    </row>
    <row r="357" spans="1:10" x14ac:dyDescent="0.25">
      <c r="A357">
        <v>1</v>
      </c>
      <c r="B357" s="5">
        <v>0.64450231481481479</v>
      </c>
      <c r="D357" s="6" t="s">
        <v>12</v>
      </c>
      <c r="E357" s="7" t="s">
        <v>19</v>
      </c>
      <c r="F357" s="7" t="s">
        <v>38</v>
      </c>
      <c r="G357" s="8" t="s">
        <v>15</v>
      </c>
      <c r="H357" s="8" t="str">
        <f t="shared" si="18"/>
        <v>NA</v>
      </c>
      <c r="I357" s="8" t="s">
        <v>30</v>
      </c>
    </row>
    <row r="358" spans="1:10" x14ac:dyDescent="0.25">
      <c r="A358">
        <v>1</v>
      </c>
      <c r="B358" s="5">
        <v>0.64880787037037035</v>
      </c>
      <c r="D358" s="6" t="s">
        <v>12</v>
      </c>
      <c r="E358" s="7" t="s">
        <v>16</v>
      </c>
      <c r="F358" s="7" t="s">
        <v>13</v>
      </c>
      <c r="H358" s="8" t="str">
        <f t="shared" si="18"/>
        <v/>
      </c>
      <c r="I358" s="8" t="str">
        <f t="shared" si="17"/>
        <v/>
      </c>
    </row>
    <row r="359" spans="1:10" x14ac:dyDescent="0.25">
      <c r="A359">
        <v>1</v>
      </c>
      <c r="B359" s="5">
        <v>0.65003472222222225</v>
      </c>
      <c r="D359" s="6" t="s">
        <v>12</v>
      </c>
      <c r="E359" s="7" t="s">
        <v>25</v>
      </c>
      <c r="F359" s="7" t="s">
        <v>27</v>
      </c>
      <c r="H359" s="8" t="str">
        <f t="shared" si="18"/>
        <v/>
      </c>
      <c r="I359" s="8" t="str">
        <f t="shared" si="17"/>
        <v/>
      </c>
    </row>
    <row r="360" spans="1:10" x14ac:dyDescent="0.25">
      <c r="A360">
        <v>1</v>
      </c>
      <c r="B360" s="5">
        <v>0.65631944444444446</v>
      </c>
      <c r="D360" s="6" t="s">
        <v>21</v>
      </c>
      <c r="E360" s="7" t="s">
        <v>9</v>
      </c>
      <c r="F360" s="7" t="s">
        <v>49</v>
      </c>
      <c r="G360" s="8" t="s">
        <v>15</v>
      </c>
      <c r="H360" s="8" t="str">
        <f t="shared" si="18"/>
        <v>NA</v>
      </c>
      <c r="I360" s="8" t="s">
        <v>15</v>
      </c>
      <c r="J360" s="22"/>
    </row>
    <row r="361" spans="1:10" x14ac:dyDescent="0.25">
      <c r="A361">
        <v>1</v>
      </c>
      <c r="B361" s="5">
        <v>0.65634259259259264</v>
      </c>
      <c r="D361" s="6" t="s">
        <v>12</v>
      </c>
      <c r="E361" s="7" t="s">
        <v>22</v>
      </c>
      <c r="F361" s="7" t="s">
        <v>39</v>
      </c>
      <c r="G361" s="8" t="s">
        <v>15</v>
      </c>
      <c r="H361" s="8" t="str">
        <f t="shared" si="18"/>
        <v>NA</v>
      </c>
      <c r="I361" s="8" t="s">
        <v>30</v>
      </c>
    </row>
    <row r="362" spans="1:10" x14ac:dyDescent="0.25">
      <c r="A362">
        <v>1</v>
      </c>
      <c r="B362" s="5">
        <v>0.65728009259259257</v>
      </c>
      <c r="D362" s="6" t="s">
        <v>12</v>
      </c>
      <c r="E362" s="7" t="s">
        <v>22</v>
      </c>
      <c r="F362" s="7" t="s">
        <v>28</v>
      </c>
      <c r="G362" s="8" t="s">
        <v>15</v>
      </c>
      <c r="H362" s="8" t="str">
        <f t="shared" si="18"/>
        <v>NA</v>
      </c>
      <c r="I362" s="8" t="s">
        <v>30</v>
      </c>
    </row>
    <row r="363" spans="1:10" x14ac:dyDescent="0.25">
      <c r="A363">
        <v>1</v>
      </c>
      <c r="B363" s="5">
        <v>0.66256944444444443</v>
      </c>
      <c r="D363" s="6" t="s">
        <v>12</v>
      </c>
      <c r="E363" s="7" t="s">
        <v>25</v>
      </c>
      <c r="F363" s="7" t="s">
        <v>28</v>
      </c>
      <c r="G363" s="8" t="s">
        <v>30</v>
      </c>
      <c r="H363" s="8" t="s">
        <v>30</v>
      </c>
      <c r="I363" s="8" t="str">
        <f t="shared" si="17"/>
        <v>NA</v>
      </c>
    </row>
    <row r="364" spans="1:10" x14ac:dyDescent="0.25">
      <c r="A364">
        <v>1</v>
      </c>
      <c r="B364" s="5">
        <v>0.66417824074074072</v>
      </c>
      <c r="D364" s="6" t="s">
        <v>12</v>
      </c>
      <c r="E364" s="7" t="s">
        <v>13</v>
      </c>
      <c r="F364" s="7" t="s">
        <v>25</v>
      </c>
      <c r="H364" s="8" t="str">
        <f t="shared" si="18"/>
        <v/>
      </c>
      <c r="I364" s="8" t="str">
        <f t="shared" si="17"/>
        <v/>
      </c>
    </row>
    <row r="365" spans="1:10" x14ac:dyDescent="0.25">
      <c r="A365">
        <v>1</v>
      </c>
      <c r="B365" s="5">
        <v>0.664525462962963</v>
      </c>
      <c r="D365" s="6" t="s">
        <v>12</v>
      </c>
      <c r="E365" s="7" t="s">
        <v>25</v>
      </c>
      <c r="F365" s="7" t="s">
        <v>13</v>
      </c>
      <c r="H365" s="8" t="str">
        <f t="shared" si="18"/>
        <v/>
      </c>
      <c r="I365" s="8" t="str">
        <f t="shared" si="17"/>
        <v/>
      </c>
    </row>
    <row r="366" spans="1:10" x14ac:dyDescent="0.25">
      <c r="A366">
        <v>2</v>
      </c>
      <c r="B366" s="5">
        <v>0.35586805555555556</v>
      </c>
      <c r="C366" s="5">
        <v>0.35805555555555557</v>
      </c>
      <c r="D366" s="6" t="s">
        <v>21</v>
      </c>
      <c r="E366" s="7" t="s">
        <v>24</v>
      </c>
      <c r="F366" s="7" t="s">
        <v>18</v>
      </c>
      <c r="G366" s="8" t="s">
        <v>15</v>
      </c>
      <c r="H366" s="8" t="str">
        <f t="shared" si="18"/>
        <v>NA</v>
      </c>
      <c r="I366" s="8" t="s">
        <v>15</v>
      </c>
    </row>
    <row r="367" spans="1:10" x14ac:dyDescent="0.25">
      <c r="A367">
        <v>2</v>
      </c>
      <c r="B367" s="5">
        <v>0.39993055555555551</v>
      </c>
      <c r="D367" s="6" t="s">
        <v>12</v>
      </c>
      <c r="E367" s="7" t="s">
        <v>19</v>
      </c>
      <c r="F367" s="7" t="s">
        <v>20</v>
      </c>
      <c r="G367" s="8" t="s">
        <v>15</v>
      </c>
      <c r="H367" s="8" t="str">
        <f t="shared" si="18"/>
        <v>NA</v>
      </c>
      <c r="I367" s="8" t="s">
        <v>30</v>
      </c>
      <c r="J367" s="20" t="s">
        <v>63</v>
      </c>
    </row>
    <row r="368" spans="1:10" x14ac:dyDescent="0.25">
      <c r="A368">
        <v>2</v>
      </c>
      <c r="B368" s="5">
        <v>0.40415509259259258</v>
      </c>
      <c r="D368" s="6" t="s">
        <v>21</v>
      </c>
      <c r="E368" s="7" t="s">
        <v>16</v>
      </c>
      <c r="F368" s="7" t="s">
        <v>14</v>
      </c>
      <c r="G368" s="8" t="s">
        <v>15</v>
      </c>
      <c r="H368" s="8" t="str">
        <f t="shared" si="18"/>
        <v>NA</v>
      </c>
      <c r="I368" s="8" t="s">
        <v>15</v>
      </c>
    </row>
    <row r="369" spans="1:9" x14ac:dyDescent="0.25">
      <c r="A369">
        <v>2</v>
      </c>
      <c r="B369" s="5">
        <v>0.40847222222222218</v>
      </c>
      <c r="D369" s="6" t="s">
        <v>12</v>
      </c>
      <c r="E369" s="7" t="s">
        <v>16</v>
      </c>
      <c r="F369" s="7" t="s">
        <v>64</v>
      </c>
      <c r="G369" s="8" t="s">
        <v>15</v>
      </c>
      <c r="H369" s="8" t="str">
        <f t="shared" si="18"/>
        <v>NA</v>
      </c>
      <c r="I369" s="8" t="s">
        <v>30</v>
      </c>
    </row>
    <row r="370" spans="1:9" x14ac:dyDescent="0.25">
      <c r="A370">
        <v>2</v>
      </c>
      <c r="B370" s="5">
        <v>0.40967592592592594</v>
      </c>
      <c r="D370" s="6" t="s">
        <v>12</v>
      </c>
      <c r="E370" s="7" t="s">
        <v>27</v>
      </c>
      <c r="F370" s="7" t="s">
        <v>32</v>
      </c>
      <c r="G370" s="8" t="s">
        <v>15</v>
      </c>
      <c r="H370" s="8" t="str">
        <f t="shared" si="18"/>
        <v>NA</v>
      </c>
      <c r="I370" s="8" t="s">
        <v>30</v>
      </c>
    </row>
    <row r="371" spans="1:9" x14ac:dyDescent="0.25">
      <c r="A371">
        <v>2</v>
      </c>
      <c r="B371" s="5">
        <v>0.40986111111111106</v>
      </c>
      <c r="D371" s="6" t="s">
        <v>12</v>
      </c>
      <c r="E371" s="7" t="s">
        <v>27</v>
      </c>
      <c r="F371" s="7" t="s">
        <v>26</v>
      </c>
      <c r="G371" s="8" t="s">
        <v>15</v>
      </c>
      <c r="H371" s="8" t="str">
        <f t="shared" si="18"/>
        <v>NA</v>
      </c>
      <c r="I371" s="8" t="s">
        <v>30</v>
      </c>
    </row>
    <row r="372" spans="1:9" x14ac:dyDescent="0.25">
      <c r="A372">
        <v>2</v>
      </c>
      <c r="B372" s="5">
        <v>0.4261921296296296</v>
      </c>
      <c r="D372" s="6" t="s">
        <v>12</v>
      </c>
      <c r="E372" s="7" t="s">
        <v>19</v>
      </c>
      <c r="F372" s="7" t="s">
        <v>49</v>
      </c>
      <c r="G372" s="8" t="s">
        <v>15</v>
      </c>
      <c r="H372" s="8" t="str">
        <f t="shared" si="18"/>
        <v>NA</v>
      </c>
      <c r="I372" s="8" t="s">
        <v>30</v>
      </c>
    </row>
    <row r="373" spans="1:9" x14ac:dyDescent="0.25">
      <c r="A373">
        <v>2</v>
      </c>
      <c r="B373" s="5">
        <v>0.42848379629629635</v>
      </c>
      <c r="D373" s="6" t="s">
        <v>12</v>
      </c>
      <c r="E373" s="7" t="s">
        <v>19</v>
      </c>
      <c r="F373" s="7" t="s">
        <v>20</v>
      </c>
      <c r="G373" s="8" t="s">
        <v>15</v>
      </c>
      <c r="H373" s="8" t="str">
        <f t="shared" si="18"/>
        <v>NA</v>
      </c>
      <c r="I373" s="8" t="s">
        <v>30</v>
      </c>
    </row>
    <row r="374" spans="1:9" x14ac:dyDescent="0.25">
      <c r="A374">
        <v>2</v>
      </c>
      <c r="B374" s="5">
        <v>0.43339120370370371</v>
      </c>
      <c r="D374" s="6" t="s">
        <v>12</v>
      </c>
      <c r="E374" s="7" t="s">
        <v>27</v>
      </c>
      <c r="F374" s="7" t="s">
        <v>26</v>
      </c>
      <c r="G374" s="8" t="s">
        <v>15</v>
      </c>
      <c r="H374" s="8" t="str">
        <f t="shared" si="18"/>
        <v>NA</v>
      </c>
      <c r="I374" s="8" t="s">
        <v>30</v>
      </c>
    </row>
    <row r="375" spans="1:9" x14ac:dyDescent="0.25">
      <c r="A375">
        <v>2</v>
      </c>
      <c r="B375" s="5">
        <v>0.43821759259259263</v>
      </c>
      <c r="D375" s="6" t="s">
        <v>12</v>
      </c>
      <c r="E375" s="7" t="s">
        <v>19</v>
      </c>
      <c r="F375" s="7" t="s">
        <v>13</v>
      </c>
      <c r="G375" s="8" t="s">
        <v>15</v>
      </c>
      <c r="H375" s="8" t="str">
        <f t="shared" si="18"/>
        <v>NA</v>
      </c>
      <c r="I375" s="8" t="s">
        <v>30</v>
      </c>
    </row>
    <row r="376" spans="1:9" x14ac:dyDescent="0.25">
      <c r="A376">
        <v>2</v>
      </c>
      <c r="B376" s="5">
        <v>0.43829861111111112</v>
      </c>
      <c r="D376" s="6" t="s">
        <v>12</v>
      </c>
      <c r="E376" s="7" t="s">
        <v>19</v>
      </c>
      <c r="F376" s="7" t="s">
        <v>18</v>
      </c>
      <c r="G376" s="8" t="s">
        <v>15</v>
      </c>
      <c r="H376" s="8" t="str">
        <f t="shared" si="18"/>
        <v>NA</v>
      </c>
      <c r="I376" s="8" t="s">
        <v>30</v>
      </c>
    </row>
    <row r="377" spans="1:9" x14ac:dyDescent="0.25">
      <c r="A377">
        <v>2</v>
      </c>
      <c r="B377" s="5">
        <v>0.43865740740740744</v>
      </c>
      <c r="D377" s="6" t="s">
        <v>12</v>
      </c>
      <c r="E377" s="7" t="s">
        <v>23</v>
      </c>
      <c r="F377" s="7" t="s">
        <v>19</v>
      </c>
      <c r="G377" s="8" t="s">
        <v>15</v>
      </c>
      <c r="H377" s="8" t="str">
        <f t="shared" si="18"/>
        <v>NA</v>
      </c>
      <c r="I377" s="8" t="s">
        <v>30</v>
      </c>
    </row>
    <row r="378" spans="1:9" x14ac:dyDescent="0.25">
      <c r="A378">
        <v>2</v>
      </c>
      <c r="B378" s="5">
        <v>0.44001157407407404</v>
      </c>
      <c r="D378" s="6" t="s">
        <v>12</v>
      </c>
      <c r="E378" s="7" t="s">
        <v>19</v>
      </c>
      <c r="F378" s="7" t="s">
        <v>23</v>
      </c>
      <c r="I378" s="8" t="str">
        <f t="shared" si="17"/>
        <v/>
      </c>
    </row>
    <row r="379" spans="1:9" x14ac:dyDescent="0.25">
      <c r="A379">
        <v>2</v>
      </c>
      <c r="B379" s="5">
        <v>0.44634259259259257</v>
      </c>
      <c r="C379" s="5">
        <v>0.44773148148148145</v>
      </c>
      <c r="D379" s="6" t="s">
        <v>21</v>
      </c>
      <c r="E379" s="7" t="s">
        <v>16</v>
      </c>
      <c r="F379" s="7" t="s">
        <v>14</v>
      </c>
      <c r="G379" s="8" t="s">
        <v>30</v>
      </c>
      <c r="H379" s="8" t="s">
        <v>15</v>
      </c>
      <c r="I379" s="8" t="s">
        <v>15</v>
      </c>
    </row>
    <row r="380" spans="1:9" x14ac:dyDescent="0.25">
      <c r="A380">
        <v>2</v>
      </c>
      <c r="B380" s="5">
        <v>0.44876157407407408</v>
      </c>
      <c r="D380" s="6" t="s">
        <v>12</v>
      </c>
      <c r="E380" s="7" t="s">
        <v>19</v>
      </c>
      <c r="F380" s="7" t="s">
        <v>49</v>
      </c>
      <c r="G380" s="8" t="s">
        <v>30</v>
      </c>
      <c r="H380" s="8" t="s">
        <v>15</v>
      </c>
      <c r="I380" s="8" t="s">
        <v>30</v>
      </c>
    </row>
    <row r="381" spans="1:9" x14ac:dyDescent="0.25">
      <c r="A381">
        <v>2</v>
      </c>
      <c r="B381" s="5">
        <v>0.44892361111111106</v>
      </c>
      <c r="D381" s="6" t="s">
        <v>12</v>
      </c>
      <c r="E381" s="7" t="s">
        <v>19</v>
      </c>
      <c r="F381" s="7" t="s">
        <v>49</v>
      </c>
      <c r="G381" s="8" t="s">
        <v>30</v>
      </c>
      <c r="H381" s="8" t="s">
        <v>30</v>
      </c>
      <c r="I381" s="8" t="str">
        <f t="shared" si="17"/>
        <v>NA</v>
      </c>
    </row>
    <row r="382" spans="1:9" x14ac:dyDescent="0.25">
      <c r="A382">
        <v>2</v>
      </c>
      <c r="B382" s="5">
        <v>0.44929398148148153</v>
      </c>
      <c r="D382" s="6" t="s">
        <v>21</v>
      </c>
      <c r="E382" s="7" t="s">
        <v>19</v>
      </c>
      <c r="F382" s="7" t="s">
        <v>49</v>
      </c>
      <c r="G382" s="8" t="s">
        <v>30</v>
      </c>
      <c r="H382" s="8" t="s">
        <v>15</v>
      </c>
      <c r="I382" s="8" t="s">
        <v>15</v>
      </c>
    </row>
    <row r="383" spans="1:9" x14ac:dyDescent="0.25">
      <c r="A383">
        <v>2</v>
      </c>
      <c r="B383" s="5">
        <v>0.44974537037037038</v>
      </c>
      <c r="D383" s="6" t="s">
        <v>12</v>
      </c>
      <c r="E383" s="7" t="s">
        <v>23</v>
      </c>
      <c r="F383" s="7" t="s">
        <v>19</v>
      </c>
      <c r="H383" s="8" t="str">
        <f t="shared" si="18"/>
        <v/>
      </c>
      <c r="I383" s="8" t="str">
        <f t="shared" si="17"/>
        <v/>
      </c>
    </row>
    <row r="384" spans="1:9" x14ac:dyDescent="0.25">
      <c r="A384">
        <v>2</v>
      </c>
      <c r="B384" s="5">
        <v>0.44990740740740742</v>
      </c>
      <c r="D384" s="6" t="s">
        <v>12</v>
      </c>
      <c r="E384" s="7" t="s">
        <v>24</v>
      </c>
      <c r="F384" s="7" t="s">
        <v>23</v>
      </c>
      <c r="H384" s="8" t="str">
        <f t="shared" si="18"/>
        <v/>
      </c>
      <c r="I384" s="8" t="str">
        <f t="shared" si="17"/>
        <v/>
      </c>
    </row>
    <row r="385" spans="1:10" x14ac:dyDescent="0.25">
      <c r="A385">
        <v>2</v>
      </c>
      <c r="B385" s="5">
        <v>0.44994212962962959</v>
      </c>
      <c r="D385" s="6" t="s">
        <v>12</v>
      </c>
      <c r="E385" s="7" t="s">
        <v>24</v>
      </c>
      <c r="F385" s="7" t="s">
        <v>19</v>
      </c>
      <c r="H385" s="8" t="str">
        <f t="shared" si="18"/>
        <v/>
      </c>
      <c r="I385" s="8" t="str">
        <f t="shared" si="17"/>
        <v/>
      </c>
    </row>
    <row r="386" spans="1:10" x14ac:dyDescent="0.25">
      <c r="A386">
        <v>2</v>
      </c>
      <c r="B386" s="5">
        <v>0.45886574074074077</v>
      </c>
      <c r="D386" s="6" t="s">
        <v>12</v>
      </c>
      <c r="E386" s="7" t="s">
        <v>19</v>
      </c>
      <c r="F386" s="7" t="s">
        <v>24</v>
      </c>
      <c r="H386" s="8" t="str">
        <f t="shared" si="18"/>
        <v/>
      </c>
      <c r="I386" s="8" t="str">
        <f t="shared" si="17"/>
        <v/>
      </c>
    </row>
    <row r="387" spans="1:10" x14ac:dyDescent="0.25">
      <c r="A387">
        <v>2</v>
      </c>
      <c r="B387" s="5">
        <v>0.45923611111111112</v>
      </c>
      <c r="C387" s="5">
        <v>0.46312500000000001</v>
      </c>
      <c r="D387" s="6" t="s">
        <v>21</v>
      </c>
      <c r="E387" s="7" t="s">
        <v>25</v>
      </c>
      <c r="F387" s="7" t="s">
        <v>49</v>
      </c>
      <c r="G387" s="8" t="s">
        <v>30</v>
      </c>
      <c r="H387" s="8" t="s">
        <v>15</v>
      </c>
      <c r="I387" s="8" t="s">
        <v>15</v>
      </c>
      <c r="J387" s="20" t="s">
        <v>54</v>
      </c>
    </row>
    <row r="388" spans="1:10" x14ac:dyDescent="0.25">
      <c r="A388">
        <v>2</v>
      </c>
      <c r="B388" s="5">
        <v>0.46819444444444441</v>
      </c>
      <c r="D388" s="6" t="s">
        <v>12</v>
      </c>
      <c r="E388" s="7" t="s">
        <v>25</v>
      </c>
      <c r="F388" s="7" t="s">
        <v>49</v>
      </c>
      <c r="G388" s="8" t="s">
        <v>30</v>
      </c>
      <c r="H388" s="8" t="s">
        <v>15</v>
      </c>
      <c r="I388" s="8" t="s">
        <v>30</v>
      </c>
      <c r="J388" s="20" t="s">
        <v>54</v>
      </c>
    </row>
    <row r="389" spans="1:10" x14ac:dyDescent="0.25">
      <c r="A389">
        <v>2</v>
      </c>
      <c r="B389" s="5">
        <v>0.4689699074074074</v>
      </c>
      <c r="D389" s="6" t="s">
        <v>12</v>
      </c>
      <c r="E389" s="7" t="s">
        <v>25</v>
      </c>
      <c r="F389" s="7" t="s">
        <v>49</v>
      </c>
      <c r="G389" s="8" t="s">
        <v>15</v>
      </c>
      <c r="H389" s="8" t="str">
        <f t="shared" si="18"/>
        <v>NA</v>
      </c>
      <c r="I389" s="8" t="s">
        <v>30</v>
      </c>
      <c r="J389" s="20" t="s">
        <v>54</v>
      </c>
    </row>
    <row r="390" spans="1:10" x14ac:dyDescent="0.25">
      <c r="A390">
        <v>2</v>
      </c>
      <c r="B390" s="5">
        <v>0.47229166666666672</v>
      </c>
      <c r="D390" s="6" t="s">
        <v>12</v>
      </c>
      <c r="E390" s="7" t="s">
        <v>16</v>
      </c>
      <c r="F390" s="7" t="s">
        <v>27</v>
      </c>
      <c r="G390" s="8" t="s">
        <v>15</v>
      </c>
      <c r="H390" s="8" t="str">
        <f t="shared" si="18"/>
        <v>NA</v>
      </c>
      <c r="I390" s="8" t="s">
        <v>30</v>
      </c>
    </row>
    <row r="391" spans="1:10" x14ac:dyDescent="0.25">
      <c r="A391">
        <v>2</v>
      </c>
      <c r="B391" s="5">
        <v>0.47317129629629634</v>
      </c>
      <c r="D391" s="6" t="s">
        <v>12</v>
      </c>
      <c r="E391" s="7" t="s">
        <v>23</v>
      </c>
      <c r="F391" s="7" t="s">
        <v>19</v>
      </c>
      <c r="H391" s="8" t="str">
        <f t="shared" si="18"/>
        <v/>
      </c>
      <c r="I391" s="8" t="str">
        <f t="shared" si="17"/>
        <v/>
      </c>
    </row>
    <row r="392" spans="1:10" x14ac:dyDescent="0.25">
      <c r="A392">
        <v>2</v>
      </c>
      <c r="B392" s="5">
        <v>0.47361111111111115</v>
      </c>
      <c r="D392" s="6" t="s">
        <v>12</v>
      </c>
      <c r="E392" s="7" t="s">
        <v>42</v>
      </c>
      <c r="F392" s="7" t="s">
        <v>23</v>
      </c>
      <c r="H392" s="8" t="str">
        <f t="shared" si="18"/>
        <v/>
      </c>
      <c r="I392" s="8" t="str">
        <f t="shared" si="17"/>
        <v/>
      </c>
    </row>
    <row r="393" spans="1:10" x14ac:dyDescent="0.25">
      <c r="A393">
        <v>2</v>
      </c>
      <c r="B393" s="5">
        <v>0.47516203703703702</v>
      </c>
      <c r="D393" s="6" t="s">
        <v>12</v>
      </c>
      <c r="E393" s="7" t="s">
        <v>25</v>
      </c>
      <c r="F393" s="7" t="s">
        <v>49</v>
      </c>
      <c r="G393" s="8" t="s">
        <v>15</v>
      </c>
      <c r="H393" s="8" t="str">
        <f t="shared" si="18"/>
        <v>NA</v>
      </c>
      <c r="I393" s="8" t="s">
        <v>30</v>
      </c>
      <c r="J393" s="20" t="s">
        <v>54</v>
      </c>
    </row>
    <row r="394" spans="1:10" x14ac:dyDescent="0.25">
      <c r="A394">
        <v>2</v>
      </c>
      <c r="B394" s="5">
        <v>0.48019675925925925</v>
      </c>
      <c r="D394" s="6" t="s">
        <v>12</v>
      </c>
      <c r="E394" s="7" t="s">
        <v>23</v>
      </c>
      <c r="F394" s="7" t="s">
        <v>20</v>
      </c>
      <c r="G394" s="8" t="s">
        <v>30</v>
      </c>
      <c r="H394" s="8" t="s">
        <v>15</v>
      </c>
      <c r="I394" s="8" t="s">
        <v>30</v>
      </c>
    </row>
    <row r="395" spans="1:10" x14ac:dyDescent="0.25">
      <c r="A395">
        <v>2</v>
      </c>
      <c r="B395" s="5">
        <v>0.48126157407407405</v>
      </c>
      <c r="D395" s="6" t="s">
        <v>12</v>
      </c>
      <c r="E395" s="7" t="s">
        <v>25</v>
      </c>
      <c r="F395" s="7" t="s">
        <v>49</v>
      </c>
      <c r="G395" s="8" t="s">
        <v>30</v>
      </c>
      <c r="H395" s="8" t="s">
        <v>15</v>
      </c>
      <c r="I395" s="8" t="s">
        <v>30</v>
      </c>
      <c r="J395" s="20" t="s">
        <v>54</v>
      </c>
    </row>
    <row r="396" spans="1:10" x14ac:dyDescent="0.25">
      <c r="A396">
        <v>2</v>
      </c>
      <c r="B396" s="5">
        <v>0.48438657407407404</v>
      </c>
      <c r="D396" s="6" t="s">
        <v>12</v>
      </c>
      <c r="E396" s="7" t="s">
        <v>27</v>
      </c>
      <c r="F396" s="7" t="s">
        <v>32</v>
      </c>
      <c r="H396" s="8" t="str">
        <f t="shared" si="18"/>
        <v/>
      </c>
      <c r="I396" s="8" t="str">
        <f t="shared" si="17"/>
        <v/>
      </c>
    </row>
    <row r="397" spans="1:10" x14ac:dyDescent="0.25">
      <c r="A397">
        <v>2</v>
      </c>
      <c r="B397" s="5">
        <v>0.48466435185185186</v>
      </c>
      <c r="D397" s="6" t="s">
        <v>12</v>
      </c>
      <c r="E397" s="7" t="s">
        <v>27</v>
      </c>
      <c r="F397" s="7" t="s">
        <v>25</v>
      </c>
      <c r="H397" s="8" t="str">
        <f t="shared" si="18"/>
        <v/>
      </c>
      <c r="I397" s="8" t="str">
        <f t="shared" si="17"/>
        <v/>
      </c>
    </row>
    <row r="398" spans="1:10" x14ac:dyDescent="0.25">
      <c r="A398">
        <v>2</v>
      </c>
      <c r="B398" s="5">
        <v>0.48547453703703702</v>
      </c>
      <c r="D398" s="6" t="s">
        <v>12</v>
      </c>
      <c r="E398" s="7" t="s">
        <v>25</v>
      </c>
      <c r="F398" s="7" t="s">
        <v>49</v>
      </c>
      <c r="G398" s="8" t="s">
        <v>30</v>
      </c>
      <c r="H398" s="8" t="s">
        <v>30</v>
      </c>
      <c r="I398" s="8" t="str">
        <f t="shared" ref="I398:I460" si="19">IF(H398 = "y", "NA", "")</f>
        <v>NA</v>
      </c>
    </row>
    <row r="399" spans="1:10" x14ac:dyDescent="0.25">
      <c r="A399">
        <v>2</v>
      </c>
      <c r="B399" s="5">
        <v>0.48574074074074075</v>
      </c>
      <c r="D399" s="6" t="s">
        <v>12</v>
      </c>
      <c r="E399" s="7" t="s">
        <v>16</v>
      </c>
      <c r="F399" s="7" t="s">
        <v>14</v>
      </c>
      <c r="G399" s="8" t="s">
        <v>30</v>
      </c>
      <c r="H399" s="8" t="s">
        <v>15</v>
      </c>
      <c r="I399" s="8" t="s">
        <v>30</v>
      </c>
    </row>
    <row r="400" spans="1:10" x14ac:dyDescent="0.25">
      <c r="A400">
        <v>2</v>
      </c>
      <c r="B400" s="5">
        <v>0.4861111111111111</v>
      </c>
      <c r="D400" s="6" t="s">
        <v>21</v>
      </c>
      <c r="E400" s="7" t="s">
        <v>32</v>
      </c>
      <c r="F400" s="7" t="s">
        <v>26</v>
      </c>
      <c r="G400" s="8" t="s">
        <v>30</v>
      </c>
      <c r="H400" s="8" t="s">
        <v>15</v>
      </c>
      <c r="I400" s="8" t="s">
        <v>15</v>
      </c>
    </row>
    <row r="401" spans="1:10" x14ac:dyDescent="0.25">
      <c r="A401">
        <v>2</v>
      </c>
      <c r="B401" s="5">
        <v>0.4878703703703704</v>
      </c>
      <c r="D401" s="6" t="s">
        <v>12</v>
      </c>
      <c r="E401" s="7" t="s">
        <v>27</v>
      </c>
      <c r="F401" s="7" t="s">
        <v>13</v>
      </c>
      <c r="H401" s="8" t="str">
        <f t="shared" si="18"/>
        <v/>
      </c>
      <c r="I401" s="8" t="str">
        <f t="shared" si="19"/>
        <v/>
      </c>
    </row>
    <row r="402" spans="1:10" x14ac:dyDescent="0.25">
      <c r="A402">
        <v>2</v>
      </c>
      <c r="B402" s="5">
        <v>0.48800925925925925</v>
      </c>
      <c r="D402" s="6" t="s">
        <v>12</v>
      </c>
      <c r="E402" s="7" t="s">
        <v>27</v>
      </c>
      <c r="F402" s="7" t="s">
        <v>26</v>
      </c>
      <c r="G402" s="8" t="s">
        <v>15</v>
      </c>
      <c r="H402" s="8" t="str">
        <f t="shared" si="18"/>
        <v>NA</v>
      </c>
      <c r="I402" s="8" t="s">
        <v>30</v>
      </c>
    </row>
    <row r="403" spans="1:10" x14ac:dyDescent="0.25">
      <c r="B403" s="5">
        <v>0.48923611111111115</v>
      </c>
      <c r="D403" s="6" t="s">
        <v>12</v>
      </c>
      <c r="E403" s="7" t="s">
        <v>27</v>
      </c>
      <c r="F403" s="7" t="s">
        <v>25</v>
      </c>
      <c r="H403" s="8" t="str">
        <f t="shared" si="18"/>
        <v/>
      </c>
      <c r="I403" s="8" t="str">
        <f t="shared" si="19"/>
        <v/>
      </c>
    </row>
    <row r="404" spans="1:10" x14ac:dyDescent="0.25">
      <c r="B404" s="5">
        <v>0.48943287037037037</v>
      </c>
      <c r="D404" s="6" t="s">
        <v>12</v>
      </c>
      <c r="E404" s="7" t="s">
        <v>25</v>
      </c>
      <c r="F404" s="7" t="s">
        <v>27</v>
      </c>
      <c r="H404" s="8" t="str">
        <f t="shared" si="18"/>
        <v/>
      </c>
      <c r="I404" s="8" t="str">
        <f t="shared" si="19"/>
        <v/>
      </c>
    </row>
    <row r="405" spans="1:10" x14ac:dyDescent="0.25">
      <c r="B405" s="5">
        <v>0.4894444444444444</v>
      </c>
      <c r="D405" s="6" t="s">
        <v>12</v>
      </c>
      <c r="E405" s="7" t="s">
        <v>25</v>
      </c>
      <c r="F405" s="7" t="s">
        <v>13</v>
      </c>
      <c r="H405" s="8" t="str">
        <f t="shared" si="18"/>
        <v/>
      </c>
      <c r="I405" s="8" t="str">
        <f t="shared" si="19"/>
        <v/>
      </c>
    </row>
    <row r="406" spans="1:10" x14ac:dyDescent="0.25">
      <c r="B406" s="5">
        <v>0.48951388888888886</v>
      </c>
      <c r="C406" s="5">
        <v>0.49137731481481484</v>
      </c>
      <c r="D406" s="6" t="s">
        <v>21</v>
      </c>
      <c r="E406" s="7" t="s">
        <v>13</v>
      </c>
      <c r="F406" s="7" t="s">
        <v>26</v>
      </c>
      <c r="G406" s="8" t="s">
        <v>15</v>
      </c>
      <c r="H406" s="8" t="s">
        <v>31</v>
      </c>
      <c r="I406" s="8" t="s">
        <v>15</v>
      </c>
    </row>
    <row r="407" spans="1:10" x14ac:dyDescent="0.25">
      <c r="B407" s="5">
        <v>0.49311342592592594</v>
      </c>
      <c r="D407" s="6" t="s">
        <v>21</v>
      </c>
      <c r="E407" s="7" t="s">
        <v>22</v>
      </c>
      <c r="F407" s="7" t="s">
        <v>38</v>
      </c>
      <c r="G407" s="8" t="s">
        <v>15</v>
      </c>
      <c r="H407" s="8" t="str">
        <f t="shared" si="18"/>
        <v>NA</v>
      </c>
      <c r="I407" s="8" t="s">
        <v>15</v>
      </c>
    </row>
    <row r="408" spans="1:10" x14ac:dyDescent="0.25">
      <c r="B408" s="5">
        <v>0.49442129629629633</v>
      </c>
      <c r="C408" s="5">
        <v>0.49509259259259258</v>
      </c>
      <c r="D408" s="6" t="s">
        <v>21</v>
      </c>
      <c r="E408" s="7" t="s">
        <v>13</v>
      </c>
      <c r="F408" s="7" t="s">
        <v>26</v>
      </c>
      <c r="G408" s="8" t="s">
        <v>15</v>
      </c>
      <c r="H408" s="8" t="str">
        <f t="shared" si="18"/>
        <v>NA</v>
      </c>
      <c r="I408" s="8" t="s">
        <v>30</v>
      </c>
    </row>
    <row r="409" spans="1:10" x14ac:dyDescent="0.25">
      <c r="B409" s="5">
        <v>0.49587962962962967</v>
      </c>
      <c r="D409" s="6" t="s">
        <v>12</v>
      </c>
      <c r="E409" s="7" t="s">
        <v>25</v>
      </c>
      <c r="F409" s="7" t="s">
        <v>26</v>
      </c>
      <c r="G409" s="8" t="s">
        <v>15</v>
      </c>
      <c r="H409" s="8" t="str">
        <f t="shared" si="18"/>
        <v>NA</v>
      </c>
      <c r="I409" s="8" t="s">
        <v>30</v>
      </c>
      <c r="J409" s="20" t="s">
        <v>54</v>
      </c>
    </row>
    <row r="410" spans="1:10" x14ac:dyDescent="0.25">
      <c r="B410" s="5">
        <v>0.49629629629629629</v>
      </c>
      <c r="D410" s="6" t="s">
        <v>12</v>
      </c>
      <c r="E410" s="7" t="s">
        <v>25</v>
      </c>
      <c r="F410" s="7" t="s">
        <v>13</v>
      </c>
      <c r="H410" s="8" t="str">
        <f t="shared" si="18"/>
        <v/>
      </c>
      <c r="I410" s="8" t="str">
        <f t="shared" si="19"/>
        <v/>
      </c>
    </row>
    <row r="411" spans="1:10" x14ac:dyDescent="0.25">
      <c r="B411" s="5">
        <v>0.50932870370370364</v>
      </c>
      <c r="D411" s="6" t="s">
        <v>12</v>
      </c>
      <c r="E411" s="7" t="s">
        <v>22</v>
      </c>
      <c r="F411" s="7" t="s">
        <v>58</v>
      </c>
      <c r="G411" s="8" t="s">
        <v>30</v>
      </c>
      <c r="H411" s="8" t="s">
        <v>30</v>
      </c>
      <c r="I411" s="8" t="str">
        <f t="shared" si="19"/>
        <v>NA</v>
      </c>
    </row>
    <row r="412" spans="1:10" x14ac:dyDescent="0.25">
      <c r="B412" s="5">
        <v>0.51304398148148145</v>
      </c>
      <c r="D412" s="6" t="s">
        <v>12</v>
      </c>
      <c r="E412" s="7" t="s">
        <v>24</v>
      </c>
      <c r="F412" s="7" t="s">
        <v>42</v>
      </c>
      <c r="H412" s="8" t="str">
        <f t="shared" si="18"/>
        <v/>
      </c>
      <c r="I412" s="8" t="str">
        <f t="shared" si="19"/>
        <v/>
      </c>
    </row>
    <row r="413" spans="1:10" x14ac:dyDescent="0.25">
      <c r="B413" s="5">
        <v>0.5131944444444444</v>
      </c>
      <c r="D413" s="6" t="s">
        <v>12</v>
      </c>
      <c r="E413" s="7" t="s">
        <v>23</v>
      </c>
      <c r="F413" s="7" t="s">
        <v>24</v>
      </c>
      <c r="H413" s="8" t="str">
        <f t="shared" si="18"/>
        <v/>
      </c>
      <c r="I413" s="8" t="str">
        <f t="shared" si="19"/>
        <v/>
      </c>
    </row>
    <row r="414" spans="1:10" x14ac:dyDescent="0.25">
      <c r="B414" s="5">
        <v>0.51476851851851857</v>
      </c>
      <c r="D414" s="6" t="s">
        <v>12</v>
      </c>
      <c r="E414" s="7" t="s">
        <v>42</v>
      </c>
      <c r="F414" s="7" t="s">
        <v>19</v>
      </c>
      <c r="H414" s="8" t="str">
        <f t="shared" si="18"/>
        <v/>
      </c>
      <c r="I414" s="8" t="str">
        <f t="shared" si="19"/>
        <v/>
      </c>
    </row>
    <row r="415" spans="1:10" x14ac:dyDescent="0.25">
      <c r="B415" s="5">
        <v>0.51598379629629632</v>
      </c>
      <c r="D415" s="6" t="s">
        <v>12</v>
      </c>
      <c r="E415" s="7" t="s">
        <v>19</v>
      </c>
      <c r="F415" s="7" t="s">
        <v>42</v>
      </c>
      <c r="H415" s="8" t="str">
        <f t="shared" si="18"/>
        <v/>
      </c>
      <c r="I415" s="8" t="str">
        <f t="shared" si="19"/>
        <v/>
      </c>
    </row>
    <row r="416" spans="1:10" x14ac:dyDescent="0.25">
      <c r="B416" s="5">
        <v>0.51631944444444444</v>
      </c>
      <c r="D416" s="6" t="s">
        <v>12</v>
      </c>
      <c r="E416" s="7" t="s">
        <v>13</v>
      </c>
      <c r="F416" s="7" t="s">
        <v>58</v>
      </c>
      <c r="G416" s="8" t="s">
        <v>15</v>
      </c>
      <c r="H416" s="8" t="str">
        <f t="shared" si="18"/>
        <v>NA</v>
      </c>
      <c r="I416" s="8" t="s">
        <v>30</v>
      </c>
    </row>
    <row r="417" spans="2:9" x14ac:dyDescent="0.25">
      <c r="B417" s="5">
        <v>0.51712962962962961</v>
      </c>
      <c r="D417" s="6" t="s">
        <v>12</v>
      </c>
      <c r="E417" s="7" t="s">
        <v>23</v>
      </c>
      <c r="F417" s="7" t="s">
        <v>65</v>
      </c>
      <c r="G417" s="8" t="s">
        <v>15</v>
      </c>
      <c r="H417" s="8" t="str">
        <f t="shared" si="18"/>
        <v>NA</v>
      </c>
      <c r="I417" s="8" t="s">
        <v>30</v>
      </c>
    </row>
    <row r="418" spans="2:9" x14ac:dyDescent="0.25">
      <c r="B418" s="5">
        <v>0.51788194444444446</v>
      </c>
      <c r="D418" s="6" t="s">
        <v>12</v>
      </c>
      <c r="E418" s="7" t="s">
        <v>27</v>
      </c>
      <c r="F418" s="7" t="s">
        <v>14</v>
      </c>
      <c r="G418" s="8" t="s">
        <v>30</v>
      </c>
      <c r="H418" s="8" t="s">
        <v>30</v>
      </c>
      <c r="I418" s="8" t="str">
        <f t="shared" si="19"/>
        <v>NA</v>
      </c>
    </row>
    <row r="419" spans="2:9" x14ac:dyDescent="0.25">
      <c r="B419" s="5">
        <v>0.51957175925925925</v>
      </c>
      <c r="C419" s="5">
        <v>0.5213078703703703</v>
      </c>
      <c r="D419" s="6" t="s">
        <v>21</v>
      </c>
      <c r="E419" s="7" t="s">
        <v>17</v>
      </c>
      <c r="F419" s="7" t="s">
        <v>58</v>
      </c>
      <c r="G419" s="8" t="s">
        <v>15</v>
      </c>
      <c r="H419" s="8" t="str">
        <f t="shared" ref="H419:H481" si="20">IF(G419 = "n", "NA", "")</f>
        <v>NA</v>
      </c>
      <c r="I419" s="8" t="s">
        <v>15</v>
      </c>
    </row>
    <row r="420" spans="2:9" x14ac:dyDescent="0.25">
      <c r="B420" s="5">
        <v>0.52371527777777771</v>
      </c>
      <c r="D420" s="6" t="s">
        <v>12</v>
      </c>
      <c r="E420" s="7" t="s">
        <v>17</v>
      </c>
      <c r="F420" s="7" t="s">
        <v>58</v>
      </c>
      <c r="G420" s="8" t="s">
        <v>15</v>
      </c>
      <c r="H420" s="8" t="str">
        <f t="shared" si="20"/>
        <v>NA</v>
      </c>
      <c r="I420" s="8" t="s">
        <v>30</v>
      </c>
    </row>
    <row r="421" spans="2:9" x14ac:dyDescent="0.25">
      <c r="B421" s="5">
        <v>0.52814814814814814</v>
      </c>
      <c r="D421" s="6" t="s">
        <v>12</v>
      </c>
      <c r="E421" s="7" t="s">
        <v>25</v>
      </c>
      <c r="F421" s="7" t="s">
        <v>26</v>
      </c>
      <c r="G421" s="8" t="s">
        <v>30</v>
      </c>
      <c r="H421" s="8" t="s">
        <v>30</v>
      </c>
      <c r="I421" s="8" t="str">
        <f t="shared" si="19"/>
        <v>NA</v>
      </c>
    </row>
    <row r="422" spans="2:9" x14ac:dyDescent="0.25">
      <c r="B422" s="5">
        <v>0.5302662037037037</v>
      </c>
      <c r="D422" s="6" t="s">
        <v>12</v>
      </c>
      <c r="E422" s="7" t="s">
        <v>9</v>
      </c>
      <c r="F422" s="7" t="s">
        <v>33</v>
      </c>
      <c r="G422" s="8" t="s">
        <v>30</v>
      </c>
      <c r="H422" s="8" t="s">
        <v>30</v>
      </c>
      <c r="I422" s="8" t="str">
        <f t="shared" si="19"/>
        <v>NA</v>
      </c>
    </row>
    <row r="423" spans="2:9" x14ac:dyDescent="0.25">
      <c r="B423" s="5">
        <v>0.53359953703703711</v>
      </c>
      <c r="D423" s="6" t="s">
        <v>12</v>
      </c>
      <c r="E423" s="7" t="s">
        <v>19</v>
      </c>
      <c r="F423" s="7" t="s">
        <v>23</v>
      </c>
      <c r="H423" s="8" t="str">
        <f t="shared" si="20"/>
        <v/>
      </c>
      <c r="I423" s="8" t="str">
        <f t="shared" si="19"/>
        <v/>
      </c>
    </row>
    <row r="424" spans="2:9" x14ac:dyDescent="0.25">
      <c r="B424" s="5">
        <v>0.53375000000000006</v>
      </c>
      <c r="D424" s="6" t="s">
        <v>12</v>
      </c>
      <c r="E424" s="7" t="s">
        <v>19</v>
      </c>
      <c r="F424" s="7" t="s">
        <v>42</v>
      </c>
      <c r="H424" s="8" t="str">
        <f t="shared" si="20"/>
        <v/>
      </c>
      <c r="I424" s="8" t="str">
        <f t="shared" si="19"/>
        <v/>
      </c>
    </row>
    <row r="425" spans="2:9" x14ac:dyDescent="0.25">
      <c r="B425" s="5">
        <v>0.53383101851851855</v>
      </c>
      <c r="D425" s="6" t="s">
        <v>12</v>
      </c>
      <c r="E425" s="7" t="s">
        <v>42</v>
      </c>
      <c r="F425" s="7" t="s">
        <v>19</v>
      </c>
      <c r="H425" s="8" t="str">
        <f t="shared" si="20"/>
        <v/>
      </c>
      <c r="I425" s="8" t="str">
        <f t="shared" si="19"/>
        <v/>
      </c>
    </row>
    <row r="426" spans="2:9" x14ac:dyDescent="0.25">
      <c r="B426" s="5">
        <v>0.53740740740740744</v>
      </c>
      <c r="D426" s="6" t="s">
        <v>12</v>
      </c>
      <c r="E426" s="7" t="s">
        <v>28</v>
      </c>
      <c r="F426" s="7" t="s">
        <v>20</v>
      </c>
      <c r="G426" s="8" t="s">
        <v>15</v>
      </c>
      <c r="H426" s="8" t="str">
        <f t="shared" si="20"/>
        <v>NA</v>
      </c>
      <c r="I426" s="8" t="s">
        <v>30</v>
      </c>
    </row>
    <row r="427" spans="2:9" x14ac:dyDescent="0.25">
      <c r="B427" s="5">
        <v>0.53740740740740744</v>
      </c>
      <c r="D427" s="6" t="s">
        <v>12</v>
      </c>
      <c r="E427" s="7" t="s">
        <v>18</v>
      </c>
      <c r="F427" s="7" t="s">
        <v>28</v>
      </c>
      <c r="H427" s="8" t="str">
        <f t="shared" si="20"/>
        <v/>
      </c>
      <c r="I427" s="8" t="str">
        <f t="shared" si="19"/>
        <v/>
      </c>
    </row>
    <row r="428" spans="2:9" x14ac:dyDescent="0.25">
      <c r="B428" s="5">
        <v>0.53836805555555556</v>
      </c>
      <c r="D428" s="6" t="s">
        <v>12</v>
      </c>
      <c r="E428" s="7" t="s">
        <v>17</v>
      </c>
      <c r="F428" s="7" t="s">
        <v>58</v>
      </c>
      <c r="G428" s="8" t="s">
        <v>30</v>
      </c>
      <c r="H428" s="8" t="s">
        <v>15</v>
      </c>
      <c r="I428" s="8" t="s">
        <v>30</v>
      </c>
    </row>
    <row r="429" spans="2:9" x14ac:dyDescent="0.25">
      <c r="B429" s="5">
        <v>0.54787037037037034</v>
      </c>
      <c r="D429" s="6" t="s">
        <v>12</v>
      </c>
      <c r="E429" s="7" t="s">
        <v>17</v>
      </c>
      <c r="F429" s="7" t="s">
        <v>49</v>
      </c>
      <c r="G429" s="8" t="s">
        <v>15</v>
      </c>
      <c r="H429" s="8" t="str">
        <f t="shared" si="20"/>
        <v>NA</v>
      </c>
      <c r="I429" s="8" t="s">
        <v>30</v>
      </c>
    </row>
    <row r="430" spans="2:9" x14ac:dyDescent="0.25">
      <c r="B430" s="5">
        <v>0.54993055555555559</v>
      </c>
      <c r="D430" s="6" t="s">
        <v>12</v>
      </c>
      <c r="E430" s="7" t="s">
        <v>23</v>
      </c>
      <c r="F430" s="7" t="s">
        <v>18</v>
      </c>
      <c r="G430" s="8" t="s">
        <v>15</v>
      </c>
      <c r="H430" s="8" t="str">
        <f t="shared" si="20"/>
        <v>NA</v>
      </c>
      <c r="I430" s="8" t="s">
        <v>30</v>
      </c>
    </row>
    <row r="431" spans="2:9" x14ac:dyDescent="0.25">
      <c r="B431" s="5">
        <v>0.55064814814814811</v>
      </c>
      <c r="D431" s="6" t="s">
        <v>12</v>
      </c>
      <c r="E431" s="7" t="s">
        <v>17</v>
      </c>
      <c r="F431" s="7" t="s">
        <v>33</v>
      </c>
      <c r="G431" s="8" t="s">
        <v>15</v>
      </c>
      <c r="H431" s="8" t="str">
        <f t="shared" si="20"/>
        <v>NA</v>
      </c>
      <c r="I431" s="8" t="s">
        <v>30</v>
      </c>
    </row>
    <row r="432" spans="2:9" x14ac:dyDescent="0.25">
      <c r="B432" s="5">
        <v>0.55186342592592597</v>
      </c>
      <c r="D432" s="6" t="s">
        <v>12</v>
      </c>
      <c r="E432" s="7" t="s">
        <v>23</v>
      </c>
      <c r="F432" s="7" t="s">
        <v>19</v>
      </c>
      <c r="H432" s="8" t="str">
        <f t="shared" si="20"/>
        <v/>
      </c>
      <c r="I432" s="8" t="str">
        <f t="shared" si="19"/>
        <v/>
      </c>
    </row>
    <row r="433" spans="2:9" x14ac:dyDescent="0.25">
      <c r="B433" s="5">
        <v>0.55200231481481488</v>
      </c>
      <c r="D433" s="6" t="s">
        <v>12</v>
      </c>
      <c r="E433" s="7" t="s">
        <v>24</v>
      </c>
      <c r="F433" s="7" t="s">
        <v>23</v>
      </c>
      <c r="H433" s="8" t="str">
        <f t="shared" si="20"/>
        <v/>
      </c>
      <c r="I433" s="8" t="str">
        <f t="shared" si="19"/>
        <v/>
      </c>
    </row>
    <row r="434" spans="2:9" x14ac:dyDescent="0.25">
      <c r="B434" s="5">
        <v>0.55226851851851855</v>
      </c>
      <c r="D434" s="6" t="s">
        <v>12</v>
      </c>
      <c r="E434" s="7" t="s">
        <v>17</v>
      </c>
      <c r="F434" s="7" t="s">
        <v>9</v>
      </c>
      <c r="G434" s="8" t="s">
        <v>15</v>
      </c>
      <c r="H434" s="8" t="str">
        <f t="shared" si="20"/>
        <v>NA</v>
      </c>
      <c r="I434" s="8" t="s">
        <v>30</v>
      </c>
    </row>
    <row r="435" spans="2:9" x14ac:dyDescent="0.25">
      <c r="B435" s="5">
        <v>0.55442129629629633</v>
      </c>
      <c r="D435" s="6" t="s">
        <v>12</v>
      </c>
      <c r="E435" s="7" t="s">
        <v>24</v>
      </c>
      <c r="F435" s="7" t="s">
        <v>19</v>
      </c>
      <c r="H435" s="8" t="str">
        <f t="shared" si="20"/>
        <v/>
      </c>
      <c r="I435" s="8" t="str">
        <f t="shared" si="19"/>
        <v/>
      </c>
    </row>
    <row r="436" spans="2:9" x14ac:dyDescent="0.25">
      <c r="B436" s="5">
        <v>0.55461805555555554</v>
      </c>
      <c r="D436" s="6" t="s">
        <v>12</v>
      </c>
      <c r="E436" s="7" t="s">
        <v>23</v>
      </c>
      <c r="F436" s="7" t="s">
        <v>24</v>
      </c>
      <c r="H436" s="8" t="str">
        <f t="shared" si="20"/>
        <v/>
      </c>
      <c r="I436" s="8" t="str">
        <f t="shared" si="19"/>
        <v/>
      </c>
    </row>
    <row r="437" spans="2:9" x14ac:dyDescent="0.25">
      <c r="B437" s="5">
        <v>0.55462962962962969</v>
      </c>
      <c r="D437" s="6" t="s">
        <v>12</v>
      </c>
      <c r="E437" s="7" t="s">
        <v>23</v>
      </c>
      <c r="F437" s="7" t="s">
        <v>19</v>
      </c>
      <c r="H437" s="8" t="str">
        <f t="shared" si="20"/>
        <v/>
      </c>
      <c r="I437" s="8" t="str">
        <f t="shared" si="19"/>
        <v/>
      </c>
    </row>
    <row r="438" spans="2:9" x14ac:dyDescent="0.25">
      <c r="B438" s="5">
        <v>0.55496527777777771</v>
      </c>
      <c r="D438" s="6" t="s">
        <v>12</v>
      </c>
      <c r="E438" s="7" t="s">
        <v>23</v>
      </c>
      <c r="F438" s="7" t="s">
        <v>18</v>
      </c>
      <c r="G438" s="8" t="s">
        <v>15</v>
      </c>
      <c r="H438" s="8" t="str">
        <f t="shared" si="20"/>
        <v>NA</v>
      </c>
      <c r="I438" s="8" t="s">
        <v>30</v>
      </c>
    </row>
    <row r="439" spans="2:9" x14ac:dyDescent="0.25">
      <c r="B439" s="5">
        <v>0.55497685185185186</v>
      </c>
      <c r="D439" s="6" t="s">
        <v>12</v>
      </c>
      <c r="E439" s="7" t="s">
        <v>19</v>
      </c>
      <c r="F439" s="7" t="s">
        <v>19</v>
      </c>
      <c r="H439" s="8" t="str">
        <f t="shared" si="20"/>
        <v/>
      </c>
      <c r="I439" s="8" t="str">
        <f t="shared" si="19"/>
        <v/>
      </c>
    </row>
    <row r="440" spans="2:9" x14ac:dyDescent="0.25">
      <c r="B440" s="5">
        <v>0.55565972222222226</v>
      </c>
      <c r="D440" s="6" t="s">
        <v>12</v>
      </c>
      <c r="E440" s="7" t="s">
        <v>24</v>
      </c>
      <c r="F440" s="7" t="s">
        <v>19</v>
      </c>
      <c r="H440" s="8" t="str">
        <f t="shared" si="20"/>
        <v/>
      </c>
      <c r="I440" s="8" t="str">
        <f t="shared" si="19"/>
        <v/>
      </c>
    </row>
    <row r="441" spans="2:9" x14ac:dyDescent="0.25">
      <c r="B441" s="5">
        <v>0.55774305555555559</v>
      </c>
      <c r="D441" s="6" t="s">
        <v>12</v>
      </c>
      <c r="E441" s="7" t="s">
        <v>42</v>
      </c>
      <c r="F441" s="7" t="s">
        <v>58</v>
      </c>
      <c r="G441" s="8" t="s">
        <v>30</v>
      </c>
      <c r="H441" s="8" t="s">
        <v>30</v>
      </c>
      <c r="I441" s="8" t="str">
        <f t="shared" si="19"/>
        <v>NA</v>
      </c>
    </row>
    <row r="442" spans="2:9" x14ac:dyDescent="0.25">
      <c r="B442" s="5">
        <v>0.55792824074074077</v>
      </c>
      <c r="D442" s="6" t="s">
        <v>12</v>
      </c>
      <c r="E442" s="7" t="s">
        <v>17</v>
      </c>
      <c r="F442" s="7" t="s">
        <v>18</v>
      </c>
      <c r="G442" s="8" t="s">
        <v>15</v>
      </c>
      <c r="H442" s="8" t="str">
        <f t="shared" si="20"/>
        <v>NA</v>
      </c>
      <c r="I442" s="8" t="s">
        <v>30</v>
      </c>
    </row>
    <row r="443" spans="2:9" x14ac:dyDescent="0.25">
      <c r="B443" s="5">
        <v>0.55956018518518513</v>
      </c>
      <c r="D443" s="6" t="s">
        <v>12</v>
      </c>
      <c r="E443" s="7" t="s">
        <v>19</v>
      </c>
      <c r="F443" s="7" t="s">
        <v>24</v>
      </c>
      <c r="H443" s="8" t="str">
        <f t="shared" si="20"/>
        <v/>
      </c>
      <c r="I443" s="8" t="str">
        <f t="shared" si="19"/>
        <v/>
      </c>
    </row>
    <row r="444" spans="2:9" x14ac:dyDescent="0.25">
      <c r="B444" s="5">
        <v>0.55973379629629627</v>
      </c>
      <c r="D444" s="6" t="s">
        <v>12</v>
      </c>
      <c r="E444" s="7" t="s">
        <v>17</v>
      </c>
      <c r="F444" s="7" t="s">
        <v>47</v>
      </c>
      <c r="G444" s="8" t="s">
        <v>15</v>
      </c>
      <c r="H444" s="8" t="str">
        <f t="shared" si="20"/>
        <v>NA</v>
      </c>
      <c r="I444" s="8" t="s">
        <v>30</v>
      </c>
    </row>
    <row r="445" spans="2:9" x14ac:dyDescent="0.25">
      <c r="B445" s="5">
        <v>0.55993055555555549</v>
      </c>
      <c r="D445" s="6" t="s">
        <v>12</v>
      </c>
      <c r="E445" s="7" t="s">
        <v>19</v>
      </c>
      <c r="F445" s="7" t="s">
        <v>24</v>
      </c>
      <c r="H445" s="8" t="str">
        <f t="shared" si="20"/>
        <v/>
      </c>
      <c r="I445" s="8" t="str">
        <f t="shared" si="19"/>
        <v/>
      </c>
    </row>
    <row r="446" spans="2:9" x14ac:dyDescent="0.25">
      <c r="B446" s="5">
        <v>0.56114583333333334</v>
      </c>
      <c r="D446" s="6" t="s">
        <v>12</v>
      </c>
      <c r="E446" s="7" t="s">
        <v>25</v>
      </c>
      <c r="F446" s="7" t="s">
        <v>18</v>
      </c>
      <c r="G446" s="8" t="s">
        <v>30</v>
      </c>
      <c r="H446" s="8" t="s">
        <v>30</v>
      </c>
      <c r="I446" s="8" t="str">
        <f t="shared" si="19"/>
        <v>NA</v>
      </c>
    </row>
    <row r="447" spans="2:9" x14ac:dyDescent="0.25">
      <c r="B447" s="5">
        <v>0.56114583333333334</v>
      </c>
      <c r="D447" s="6" t="s">
        <v>12</v>
      </c>
      <c r="E447" s="7" t="s">
        <v>27</v>
      </c>
      <c r="F447" s="7" t="s">
        <v>25</v>
      </c>
      <c r="H447" s="8" t="str">
        <f t="shared" si="20"/>
        <v/>
      </c>
      <c r="I447" s="8" t="str">
        <f t="shared" si="19"/>
        <v/>
      </c>
    </row>
    <row r="448" spans="2:9" x14ac:dyDescent="0.25">
      <c r="B448" s="5">
        <v>0.56137731481481479</v>
      </c>
      <c r="D448" s="6" t="s">
        <v>12</v>
      </c>
      <c r="E448" s="7" t="s">
        <v>17</v>
      </c>
      <c r="F448" s="7" t="s">
        <v>58</v>
      </c>
      <c r="G448" s="8" t="s">
        <v>15</v>
      </c>
      <c r="H448" s="8" t="str">
        <f t="shared" si="20"/>
        <v>NA</v>
      </c>
      <c r="I448" s="8" t="s">
        <v>30</v>
      </c>
    </row>
    <row r="449" spans="2:9" x14ac:dyDescent="0.25">
      <c r="B449" s="5">
        <v>0.56194444444444447</v>
      </c>
      <c r="D449" s="6" t="s">
        <v>12</v>
      </c>
      <c r="E449" s="7" t="s">
        <v>17</v>
      </c>
      <c r="F449" s="7" t="s">
        <v>47</v>
      </c>
      <c r="G449" s="8" t="s">
        <v>15</v>
      </c>
      <c r="H449" s="8" t="str">
        <f t="shared" si="20"/>
        <v>NA</v>
      </c>
      <c r="I449" s="8" t="s">
        <v>30</v>
      </c>
    </row>
    <row r="450" spans="2:9" x14ac:dyDescent="0.25">
      <c r="B450" s="5">
        <v>0.5623379629629629</v>
      </c>
      <c r="D450" s="6" t="s">
        <v>12</v>
      </c>
      <c r="E450" s="7" t="s">
        <v>25</v>
      </c>
      <c r="F450" s="7" t="s">
        <v>27</v>
      </c>
      <c r="H450" s="8" t="str">
        <f t="shared" si="20"/>
        <v/>
      </c>
      <c r="I450" s="8" t="str">
        <f t="shared" si="19"/>
        <v/>
      </c>
    </row>
    <row r="451" spans="2:9" x14ac:dyDescent="0.25">
      <c r="B451" s="5">
        <v>0.56246527777777777</v>
      </c>
      <c r="D451" s="6" t="s">
        <v>12</v>
      </c>
      <c r="E451" s="7" t="s">
        <v>19</v>
      </c>
      <c r="F451" s="7" t="s">
        <v>10</v>
      </c>
      <c r="G451" s="8" t="s">
        <v>15</v>
      </c>
      <c r="H451" s="8" t="str">
        <f t="shared" si="20"/>
        <v>NA</v>
      </c>
      <c r="I451" s="8" t="s">
        <v>30</v>
      </c>
    </row>
    <row r="452" spans="2:9" x14ac:dyDescent="0.25">
      <c r="B452" s="5">
        <v>0.56284722222222217</v>
      </c>
      <c r="D452" s="6" t="s">
        <v>12</v>
      </c>
      <c r="E452" s="7" t="s">
        <v>17</v>
      </c>
      <c r="F452" s="7" t="s">
        <v>18</v>
      </c>
      <c r="G452" s="8" t="s">
        <v>15</v>
      </c>
      <c r="H452" s="8" t="str">
        <f t="shared" si="20"/>
        <v>NA</v>
      </c>
      <c r="I452" s="8" t="s">
        <v>30</v>
      </c>
    </row>
    <row r="453" spans="2:9" x14ac:dyDescent="0.25">
      <c r="B453" s="5">
        <v>0.56343750000000004</v>
      </c>
      <c r="D453" s="6" t="s">
        <v>12</v>
      </c>
      <c r="E453" s="7" t="s">
        <v>17</v>
      </c>
      <c r="F453" s="7" t="s">
        <v>47</v>
      </c>
      <c r="G453" s="8" t="s">
        <v>15</v>
      </c>
      <c r="H453" s="8" t="str">
        <f t="shared" si="20"/>
        <v>NA</v>
      </c>
      <c r="I453" s="8" t="s">
        <v>30</v>
      </c>
    </row>
    <row r="454" spans="2:9" x14ac:dyDescent="0.25">
      <c r="B454" s="5">
        <v>0.56363425925925925</v>
      </c>
      <c r="D454" s="6" t="s">
        <v>12</v>
      </c>
      <c r="E454" s="7" t="s">
        <v>42</v>
      </c>
      <c r="F454" s="7" t="s">
        <v>18</v>
      </c>
      <c r="G454" s="8" t="s">
        <v>15</v>
      </c>
      <c r="H454" s="8" t="str">
        <f t="shared" si="20"/>
        <v>NA</v>
      </c>
      <c r="I454" s="8" t="s">
        <v>30</v>
      </c>
    </row>
    <row r="455" spans="2:9" x14ac:dyDescent="0.25">
      <c r="B455" s="5">
        <v>0.56414351851851852</v>
      </c>
      <c r="D455" s="6" t="s">
        <v>12</v>
      </c>
      <c r="E455" s="7" t="s">
        <v>23</v>
      </c>
      <c r="F455" s="7" t="s">
        <v>18</v>
      </c>
      <c r="G455" s="8" t="s">
        <v>15</v>
      </c>
      <c r="H455" s="8" t="str">
        <f t="shared" si="20"/>
        <v>NA</v>
      </c>
      <c r="I455" s="8" t="s">
        <v>30</v>
      </c>
    </row>
    <row r="456" spans="2:9" x14ac:dyDescent="0.25">
      <c r="B456" s="5">
        <v>0.56443287037037038</v>
      </c>
      <c r="D456" s="6" t="s">
        <v>12</v>
      </c>
      <c r="E456" s="7" t="s">
        <v>24</v>
      </c>
      <c r="F456" s="7" t="s">
        <v>18</v>
      </c>
      <c r="G456" s="8" t="s">
        <v>15</v>
      </c>
      <c r="H456" s="8" t="str">
        <f t="shared" si="20"/>
        <v>NA</v>
      </c>
      <c r="I456" s="8" t="s">
        <v>30</v>
      </c>
    </row>
    <row r="457" spans="2:9" x14ac:dyDescent="0.25">
      <c r="B457" s="5">
        <v>0.56473379629629628</v>
      </c>
      <c r="D457" s="6" t="s">
        <v>12</v>
      </c>
      <c r="E457" s="7" t="s">
        <v>19</v>
      </c>
      <c r="F457" s="7" t="s">
        <v>49</v>
      </c>
      <c r="G457" s="8" t="s">
        <v>15</v>
      </c>
      <c r="H457" s="8" t="str">
        <f t="shared" si="20"/>
        <v>NA</v>
      </c>
      <c r="I457" s="8" t="s">
        <v>30</v>
      </c>
    </row>
    <row r="458" spans="2:9" x14ac:dyDescent="0.25">
      <c r="B458" s="5">
        <v>0.56519675925925927</v>
      </c>
      <c r="D458" s="6" t="s">
        <v>12</v>
      </c>
      <c r="E458" s="7" t="s">
        <v>23</v>
      </c>
      <c r="F458" s="7" t="s">
        <v>25</v>
      </c>
      <c r="H458" s="8" t="str">
        <f t="shared" si="20"/>
        <v/>
      </c>
      <c r="I458" s="8" t="str">
        <f t="shared" si="19"/>
        <v/>
      </c>
    </row>
    <row r="459" spans="2:9" x14ac:dyDescent="0.25">
      <c r="B459" s="5">
        <v>0.56552083333333336</v>
      </c>
      <c r="D459" s="6" t="s">
        <v>12</v>
      </c>
      <c r="E459" s="7" t="s">
        <v>19</v>
      </c>
      <c r="F459" s="7" t="s">
        <v>47</v>
      </c>
      <c r="G459" s="8" t="s">
        <v>15</v>
      </c>
      <c r="H459" s="8" t="str">
        <f t="shared" si="20"/>
        <v>NA</v>
      </c>
      <c r="I459" s="8" t="s">
        <v>30</v>
      </c>
    </row>
    <row r="460" spans="2:9" x14ac:dyDescent="0.25">
      <c r="B460" s="5">
        <v>0.56625000000000003</v>
      </c>
      <c r="D460" s="6" t="s">
        <v>21</v>
      </c>
      <c r="E460" s="7" t="s">
        <v>42</v>
      </c>
      <c r="F460" s="7" t="s">
        <v>14</v>
      </c>
      <c r="G460" s="8" t="s">
        <v>15</v>
      </c>
      <c r="H460" s="8" t="str">
        <f t="shared" si="20"/>
        <v>NA</v>
      </c>
      <c r="I460" s="8" t="str">
        <f t="shared" si="19"/>
        <v/>
      </c>
    </row>
    <row r="461" spans="2:9" x14ac:dyDescent="0.25">
      <c r="B461" s="5">
        <v>0.5664583333333334</v>
      </c>
      <c r="D461" s="6" t="s">
        <v>12</v>
      </c>
      <c r="E461" s="7" t="s">
        <v>24</v>
      </c>
      <c r="F461" s="7" t="s">
        <v>23</v>
      </c>
      <c r="H461" s="8" t="str">
        <f t="shared" si="20"/>
        <v/>
      </c>
    </row>
    <row r="462" spans="2:9" x14ac:dyDescent="0.25">
      <c r="B462" s="5">
        <v>0.56679398148148141</v>
      </c>
      <c r="D462" s="6" t="s">
        <v>12</v>
      </c>
      <c r="E462" s="7" t="s">
        <v>19</v>
      </c>
      <c r="F462" s="7" t="s">
        <v>58</v>
      </c>
      <c r="G462" s="8" t="s">
        <v>15</v>
      </c>
      <c r="H462" s="8" t="str">
        <f t="shared" si="20"/>
        <v>NA</v>
      </c>
      <c r="I462" s="8" t="s">
        <v>30</v>
      </c>
    </row>
    <row r="463" spans="2:9" x14ac:dyDescent="0.25">
      <c r="B463" s="5">
        <v>0.56774305555555549</v>
      </c>
      <c r="D463" s="6" t="s">
        <v>12</v>
      </c>
      <c r="E463" s="7" t="s">
        <v>19</v>
      </c>
      <c r="F463" s="7" t="s">
        <v>49</v>
      </c>
      <c r="G463" s="8" t="s">
        <v>15</v>
      </c>
      <c r="H463" s="8" t="str">
        <f t="shared" si="20"/>
        <v>NA</v>
      </c>
      <c r="I463" s="8" t="s">
        <v>30</v>
      </c>
    </row>
    <row r="464" spans="2:9" x14ac:dyDescent="0.25">
      <c r="B464" s="5">
        <v>0.56865740740740744</v>
      </c>
      <c r="D464" s="6" t="s">
        <v>12</v>
      </c>
      <c r="E464" s="7" t="s">
        <v>42</v>
      </c>
      <c r="F464" s="7" t="s">
        <v>66</v>
      </c>
      <c r="G464" s="8" t="s">
        <v>15</v>
      </c>
      <c r="H464" s="8" t="str">
        <f t="shared" si="20"/>
        <v>NA</v>
      </c>
      <c r="I464" s="8" t="s">
        <v>30</v>
      </c>
    </row>
    <row r="465" spans="1:10" x14ac:dyDescent="0.25">
      <c r="A465" s="22">
        <v>0.56896990740740738</v>
      </c>
      <c r="B465" s="5">
        <v>0.56896990740740738</v>
      </c>
      <c r="D465" s="6" t="s">
        <v>12</v>
      </c>
      <c r="E465" s="7" t="s">
        <v>17</v>
      </c>
      <c r="F465" s="7" t="s">
        <v>33</v>
      </c>
      <c r="G465" s="8" t="s">
        <v>15</v>
      </c>
      <c r="H465" s="8" t="str">
        <f t="shared" si="20"/>
        <v>NA</v>
      </c>
      <c r="I465" s="8" t="s">
        <v>30</v>
      </c>
    </row>
    <row r="466" spans="1:10" x14ac:dyDescent="0.25">
      <c r="B466" s="5">
        <v>0.56929398148148147</v>
      </c>
      <c r="D466" s="6" t="s">
        <v>12</v>
      </c>
      <c r="E466" s="7" t="s">
        <v>42</v>
      </c>
      <c r="F466" s="7" t="s">
        <v>18</v>
      </c>
      <c r="G466" s="8" t="s">
        <v>15</v>
      </c>
      <c r="H466" s="8" t="str">
        <f t="shared" si="20"/>
        <v>NA</v>
      </c>
      <c r="I466" s="8" t="s">
        <v>30</v>
      </c>
    </row>
    <row r="467" spans="1:10" x14ac:dyDescent="0.25">
      <c r="B467" s="5">
        <v>0.56952546296296302</v>
      </c>
      <c r="D467" s="6" t="s">
        <v>12</v>
      </c>
      <c r="E467" s="7" t="s">
        <v>42</v>
      </c>
      <c r="F467" s="7" t="s">
        <v>18</v>
      </c>
      <c r="G467" s="8" t="s">
        <v>15</v>
      </c>
      <c r="H467" s="8" t="str">
        <f t="shared" si="20"/>
        <v>NA</v>
      </c>
      <c r="I467" s="8" t="s">
        <v>30</v>
      </c>
    </row>
    <row r="468" spans="1:10" x14ac:dyDescent="0.25">
      <c r="B468" s="5">
        <v>0.57027777777777777</v>
      </c>
      <c r="D468" s="6" t="s">
        <v>12</v>
      </c>
      <c r="E468" s="7" t="s">
        <v>17</v>
      </c>
      <c r="F468" s="7" t="s">
        <v>49</v>
      </c>
      <c r="G468" s="8" t="s">
        <v>15</v>
      </c>
      <c r="H468" s="8" t="str">
        <f t="shared" si="20"/>
        <v>NA</v>
      </c>
      <c r="I468" s="8" t="s">
        <v>15</v>
      </c>
    </row>
    <row r="469" spans="1:10" x14ac:dyDescent="0.25">
      <c r="B469" s="5">
        <v>0.57318287037037041</v>
      </c>
      <c r="D469" s="6" t="s">
        <v>12</v>
      </c>
      <c r="E469" s="7" t="s">
        <v>42</v>
      </c>
      <c r="F469" s="7" t="s">
        <v>18</v>
      </c>
      <c r="G469" s="8" t="s">
        <v>15</v>
      </c>
      <c r="H469" s="8" t="str">
        <f t="shared" si="20"/>
        <v>NA</v>
      </c>
      <c r="I469" s="8" t="s">
        <v>30</v>
      </c>
    </row>
    <row r="470" spans="1:10" x14ac:dyDescent="0.25">
      <c r="B470" s="5">
        <v>0.57340277777777782</v>
      </c>
      <c r="D470" s="6" t="s">
        <v>12</v>
      </c>
      <c r="E470" s="7" t="s">
        <v>25</v>
      </c>
      <c r="F470" s="7" t="s">
        <v>47</v>
      </c>
      <c r="G470" s="8" t="s">
        <v>15</v>
      </c>
      <c r="H470" s="8" t="str">
        <f t="shared" si="20"/>
        <v>NA</v>
      </c>
      <c r="I470" s="8" t="s">
        <v>30</v>
      </c>
    </row>
    <row r="471" spans="1:10" x14ac:dyDescent="0.25">
      <c r="B471" s="5">
        <v>0.5744907407407408</v>
      </c>
      <c r="D471" s="6" t="s">
        <v>12</v>
      </c>
      <c r="E471" s="7" t="s">
        <v>17</v>
      </c>
      <c r="F471" s="7" t="s">
        <v>42</v>
      </c>
      <c r="H471" s="8" t="str">
        <f t="shared" si="20"/>
        <v/>
      </c>
      <c r="I471" s="8" t="str">
        <f t="shared" ref="I471:I525" si="21">IF(H471 = "y", "NA", "")</f>
        <v/>
      </c>
    </row>
    <row r="472" spans="1:10" x14ac:dyDescent="0.25">
      <c r="B472" s="5">
        <v>0.57487268518518519</v>
      </c>
      <c r="D472" s="6" t="s">
        <v>12</v>
      </c>
      <c r="E472" s="7" t="s">
        <v>27</v>
      </c>
      <c r="F472" s="7" t="s">
        <v>47</v>
      </c>
      <c r="G472" s="8" t="s">
        <v>15</v>
      </c>
      <c r="H472" s="8" t="str">
        <f t="shared" si="20"/>
        <v>NA</v>
      </c>
      <c r="I472" s="8" t="s">
        <v>30</v>
      </c>
    </row>
    <row r="473" spans="1:10" x14ac:dyDescent="0.25">
      <c r="B473" s="5">
        <v>0.57547453703703699</v>
      </c>
      <c r="D473" s="6" t="s">
        <v>12</v>
      </c>
      <c r="E473" s="7" t="s">
        <v>27</v>
      </c>
      <c r="F473" s="7" t="s">
        <v>47</v>
      </c>
      <c r="G473" s="8" t="s">
        <v>15</v>
      </c>
      <c r="H473" s="8" t="str">
        <f t="shared" si="20"/>
        <v>NA</v>
      </c>
      <c r="I473" s="8" t="s">
        <v>30</v>
      </c>
    </row>
    <row r="474" spans="1:10" x14ac:dyDescent="0.25">
      <c r="B474" s="5">
        <v>0.57679398148148142</v>
      </c>
      <c r="D474" s="6" t="s">
        <v>12</v>
      </c>
      <c r="E474" s="7" t="s">
        <v>32</v>
      </c>
      <c r="F474" s="7" t="s">
        <v>26</v>
      </c>
      <c r="G474" s="8" t="s">
        <v>30</v>
      </c>
      <c r="H474" s="8" t="s">
        <v>30</v>
      </c>
      <c r="I474" s="8" t="str">
        <f t="shared" si="21"/>
        <v>NA</v>
      </c>
    </row>
    <row r="475" spans="1:10" x14ac:dyDescent="0.25">
      <c r="B475" s="5">
        <v>0.57703703703703701</v>
      </c>
      <c r="D475" s="6" t="s">
        <v>12</v>
      </c>
      <c r="E475" s="7" t="s">
        <v>25</v>
      </c>
      <c r="F475" s="7" t="s">
        <v>18</v>
      </c>
      <c r="G475" s="8" t="s">
        <v>15</v>
      </c>
      <c r="H475" s="8" t="str">
        <f t="shared" si="20"/>
        <v>NA</v>
      </c>
      <c r="I475" s="8" t="s">
        <v>30</v>
      </c>
      <c r="J475" s="20" t="s">
        <v>67</v>
      </c>
    </row>
    <row r="476" spans="1:10" x14ac:dyDescent="0.25">
      <c r="B476" s="5">
        <v>0.57822916666666668</v>
      </c>
      <c r="D476" s="6" t="s">
        <v>12</v>
      </c>
      <c r="E476" s="7" t="s">
        <v>27</v>
      </c>
      <c r="F476" s="7" t="s">
        <v>25</v>
      </c>
      <c r="H476" s="8" t="str">
        <f t="shared" si="20"/>
        <v/>
      </c>
      <c r="I476" s="8" t="str">
        <f t="shared" si="21"/>
        <v/>
      </c>
    </row>
    <row r="477" spans="1:10" x14ac:dyDescent="0.25">
      <c r="B477" s="5">
        <v>0.57839120370370367</v>
      </c>
      <c r="D477" s="6" t="s">
        <v>12</v>
      </c>
      <c r="E477" s="7" t="s">
        <v>25</v>
      </c>
      <c r="F477" s="7" t="s">
        <v>27</v>
      </c>
      <c r="H477" s="8" t="str">
        <f t="shared" si="20"/>
        <v/>
      </c>
      <c r="I477" s="8" t="str">
        <f t="shared" si="21"/>
        <v/>
      </c>
    </row>
    <row r="478" spans="1:10" x14ac:dyDescent="0.25">
      <c r="B478" s="5">
        <v>0.58395833333333336</v>
      </c>
      <c r="D478" s="6" t="s">
        <v>21</v>
      </c>
      <c r="E478" s="7" t="s">
        <v>13</v>
      </c>
      <c r="F478" s="7" t="s">
        <v>26</v>
      </c>
      <c r="G478" s="8" t="s">
        <v>15</v>
      </c>
      <c r="H478" s="8" t="str">
        <f t="shared" si="20"/>
        <v>NA</v>
      </c>
      <c r="I478" s="8" t="s">
        <v>15</v>
      </c>
    </row>
    <row r="479" spans="1:10" x14ac:dyDescent="0.25">
      <c r="B479" s="5">
        <v>0.5845717592592593</v>
      </c>
      <c r="D479" s="6" t="s">
        <v>12</v>
      </c>
      <c r="E479" s="7" t="s">
        <v>17</v>
      </c>
      <c r="F479" s="7" t="s">
        <v>14</v>
      </c>
      <c r="G479" s="8" t="s">
        <v>15</v>
      </c>
      <c r="H479" s="8" t="str">
        <f t="shared" si="20"/>
        <v>NA</v>
      </c>
      <c r="I479" s="8" t="str">
        <f t="shared" si="21"/>
        <v/>
      </c>
    </row>
    <row r="480" spans="1:10" x14ac:dyDescent="0.25">
      <c r="B480" s="5">
        <v>0.58893518518518517</v>
      </c>
      <c r="D480" s="6" t="s">
        <v>12</v>
      </c>
      <c r="E480" s="7" t="s">
        <v>17</v>
      </c>
      <c r="F480" s="7" t="s">
        <v>49</v>
      </c>
      <c r="G480" s="8" t="s">
        <v>15</v>
      </c>
      <c r="H480" s="8" t="str">
        <f t="shared" si="20"/>
        <v>NA</v>
      </c>
      <c r="I480" s="8" t="s">
        <v>30</v>
      </c>
    </row>
    <row r="481" spans="2:9" x14ac:dyDescent="0.25">
      <c r="B481" s="5">
        <v>0.5899537037037037</v>
      </c>
      <c r="D481" s="6" t="s">
        <v>12</v>
      </c>
      <c r="E481" s="7" t="s">
        <v>17</v>
      </c>
      <c r="F481" s="7" t="s">
        <v>26</v>
      </c>
      <c r="G481" s="8" t="s">
        <v>15</v>
      </c>
      <c r="H481" s="8" t="str">
        <f t="shared" si="20"/>
        <v>NA</v>
      </c>
      <c r="I481" s="8" t="s">
        <v>30</v>
      </c>
    </row>
    <row r="482" spans="2:9" x14ac:dyDescent="0.25">
      <c r="B482" s="5">
        <v>0.5932291666666667</v>
      </c>
      <c r="C482" s="5">
        <v>0.59384259259259264</v>
      </c>
      <c r="D482" s="6" t="s">
        <v>21</v>
      </c>
      <c r="E482" s="7" t="s">
        <v>17</v>
      </c>
      <c r="F482" s="7" t="s">
        <v>26</v>
      </c>
      <c r="G482" s="8" t="s">
        <v>15</v>
      </c>
      <c r="H482" s="8" t="str">
        <f t="shared" ref="H482:H545" si="22">IF(G482 = "n", "NA", "")</f>
        <v>NA</v>
      </c>
      <c r="I482" s="8" t="s">
        <v>15</v>
      </c>
    </row>
    <row r="483" spans="2:9" x14ac:dyDescent="0.25">
      <c r="B483" s="5">
        <v>0.59630787037037036</v>
      </c>
      <c r="D483" s="6" t="s">
        <v>12</v>
      </c>
      <c r="E483" s="7" t="s">
        <v>17</v>
      </c>
      <c r="F483" s="7" t="s">
        <v>58</v>
      </c>
      <c r="G483" s="8" t="s">
        <v>15</v>
      </c>
      <c r="H483" s="8" t="str">
        <f t="shared" si="22"/>
        <v>NA</v>
      </c>
      <c r="I483" s="8" t="s">
        <v>30</v>
      </c>
    </row>
    <row r="484" spans="2:9" x14ac:dyDescent="0.25">
      <c r="B484" s="5">
        <v>0.59855324074074068</v>
      </c>
      <c r="D484" s="6" t="s">
        <v>12</v>
      </c>
      <c r="E484" s="7" t="s">
        <v>17</v>
      </c>
      <c r="F484" s="7" t="s">
        <v>58</v>
      </c>
      <c r="G484" s="8" t="s">
        <v>15</v>
      </c>
      <c r="H484" s="8" t="str">
        <f t="shared" si="22"/>
        <v>NA</v>
      </c>
      <c r="I484" s="8" t="s">
        <v>30</v>
      </c>
    </row>
    <row r="485" spans="2:9" x14ac:dyDescent="0.25">
      <c r="B485" s="5">
        <v>0.59950231481481475</v>
      </c>
      <c r="D485" s="6" t="s">
        <v>12</v>
      </c>
      <c r="E485" s="7" t="s">
        <v>23</v>
      </c>
      <c r="F485" s="7" t="s">
        <v>20</v>
      </c>
      <c r="G485" s="8" t="s">
        <v>15</v>
      </c>
      <c r="H485" s="8" t="str">
        <f t="shared" si="22"/>
        <v>NA</v>
      </c>
      <c r="I485" s="8" t="s">
        <v>30</v>
      </c>
    </row>
    <row r="486" spans="2:9" x14ac:dyDescent="0.25">
      <c r="B486" s="5">
        <v>0.59991898148148148</v>
      </c>
      <c r="D486" s="6" t="s">
        <v>12</v>
      </c>
      <c r="E486" s="7" t="s">
        <v>24</v>
      </c>
      <c r="F486" s="7" t="s">
        <v>23</v>
      </c>
      <c r="H486" s="8" t="str">
        <f t="shared" si="22"/>
        <v/>
      </c>
      <c r="I486" s="8" t="str">
        <f t="shared" si="21"/>
        <v/>
      </c>
    </row>
    <row r="487" spans="2:9" x14ac:dyDescent="0.25">
      <c r="B487" s="5">
        <v>0.60063657407407411</v>
      </c>
      <c r="D487" s="6" t="s">
        <v>12</v>
      </c>
      <c r="E487" s="7" t="s">
        <v>17</v>
      </c>
      <c r="F487" s="7" t="s">
        <v>33</v>
      </c>
      <c r="G487" s="8" t="s">
        <v>30</v>
      </c>
      <c r="H487" s="8" t="s">
        <v>30</v>
      </c>
      <c r="I487" s="8" t="str">
        <f t="shared" si="21"/>
        <v>NA</v>
      </c>
    </row>
    <row r="488" spans="2:9" x14ac:dyDescent="0.25">
      <c r="B488" s="5">
        <v>0.6008796296296296</v>
      </c>
      <c r="D488" s="6" t="s">
        <v>12</v>
      </c>
      <c r="E488" s="7" t="s">
        <v>17</v>
      </c>
      <c r="F488" s="7" t="s">
        <v>58</v>
      </c>
      <c r="G488" s="8" t="s">
        <v>15</v>
      </c>
      <c r="H488" s="8" t="str">
        <f t="shared" si="22"/>
        <v>NA</v>
      </c>
      <c r="I488" s="8" t="s">
        <v>30</v>
      </c>
    </row>
    <row r="489" spans="2:9" x14ac:dyDescent="0.25">
      <c r="B489" s="5">
        <v>0.60133101851851845</v>
      </c>
      <c r="D489" s="6" t="s">
        <v>12</v>
      </c>
      <c r="E489" s="7" t="s">
        <v>42</v>
      </c>
      <c r="F489" s="7" t="s">
        <v>9</v>
      </c>
      <c r="H489" s="8" t="str">
        <f t="shared" si="22"/>
        <v/>
      </c>
      <c r="I489" s="8" t="str">
        <f t="shared" si="21"/>
        <v/>
      </c>
    </row>
    <row r="490" spans="2:9" x14ac:dyDescent="0.25">
      <c r="B490" s="5">
        <v>0.60166666666666668</v>
      </c>
      <c r="D490" s="6" t="s">
        <v>12</v>
      </c>
      <c r="E490" s="7" t="s">
        <v>9</v>
      </c>
      <c r="F490" s="7" t="s">
        <v>42</v>
      </c>
      <c r="H490" s="8" t="str">
        <f t="shared" si="22"/>
        <v/>
      </c>
      <c r="I490" s="8" t="str">
        <f t="shared" si="21"/>
        <v/>
      </c>
    </row>
    <row r="491" spans="2:9" x14ac:dyDescent="0.25">
      <c r="B491" s="5">
        <v>0.60184027777777771</v>
      </c>
      <c r="D491" s="6" t="s">
        <v>12</v>
      </c>
      <c r="E491" s="7" t="s">
        <v>17</v>
      </c>
      <c r="F491" s="7" t="s">
        <v>26</v>
      </c>
      <c r="G491" s="8" t="s">
        <v>30</v>
      </c>
      <c r="H491" s="8" t="s">
        <v>31</v>
      </c>
      <c r="I491" s="8" t="s">
        <v>30</v>
      </c>
    </row>
    <row r="492" spans="2:9" x14ac:dyDescent="0.25">
      <c r="B492" s="5">
        <v>0.60280092592592593</v>
      </c>
      <c r="D492" s="6" t="s">
        <v>12</v>
      </c>
      <c r="E492" s="7" t="s">
        <v>25</v>
      </c>
      <c r="F492" s="7" t="s">
        <v>27</v>
      </c>
      <c r="H492" s="8" t="str">
        <f t="shared" si="22"/>
        <v/>
      </c>
      <c r="I492" s="8" t="str">
        <f t="shared" si="21"/>
        <v/>
      </c>
    </row>
    <row r="493" spans="2:9" x14ac:dyDescent="0.25">
      <c r="B493" s="5">
        <v>0.60320601851851852</v>
      </c>
      <c r="D493" s="6" t="s">
        <v>12</v>
      </c>
      <c r="E493" s="7" t="s">
        <v>22</v>
      </c>
      <c r="F493" s="7" t="s">
        <v>26</v>
      </c>
      <c r="G493" s="8" t="s">
        <v>30</v>
      </c>
      <c r="H493" s="8" t="s">
        <v>15</v>
      </c>
      <c r="I493" s="8" t="s">
        <v>30</v>
      </c>
    </row>
    <row r="494" spans="2:9" x14ac:dyDescent="0.25">
      <c r="B494" s="5">
        <v>0.6036921296296297</v>
      </c>
      <c r="D494" s="6" t="s">
        <v>12</v>
      </c>
      <c r="E494" s="7" t="s">
        <v>42</v>
      </c>
      <c r="F494" s="7" t="s">
        <v>9</v>
      </c>
      <c r="H494" s="8" t="str">
        <f t="shared" si="22"/>
        <v/>
      </c>
      <c r="I494" s="8" t="str">
        <f t="shared" si="21"/>
        <v/>
      </c>
    </row>
    <row r="495" spans="2:9" x14ac:dyDescent="0.25">
      <c r="B495" s="5">
        <v>0.60478009259259258</v>
      </c>
      <c r="D495" s="6" t="s">
        <v>12</v>
      </c>
      <c r="E495" s="7" t="s">
        <v>16</v>
      </c>
      <c r="F495" s="7" t="s">
        <v>47</v>
      </c>
      <c r="G495" s="8" t="s">
        <v>15</v>
      </c>
      <c r="H495" s="8" t="str">
        <f t="shared" si="22"/>
        <v>NA</v>
      </c>
      <c r="I495" s="8" t="s">
        <v>30</v>
      </c>
    </row>
    <row r="496" spans="2:9" x14ac:dyDescent="0.25">
      <c r="B496" s="5">
        <v>0.60730324074074071</v>
      </c>
      <c r="D496" s="6" t="s">
        <v>12</v>
      </c>
      <c r="E496" s="7" t="s">
        <v>16</v>
      </c>
      <c r="F496" s="7" t="s">
        <v>17</v>
      </c>
      <c r="H496" s="8" t="str">
        <f t="shared" si="22"/>
        <v/>
      </c>
      <c r="I496" s="8" t="str">
        <f t="shared" si="21"/>
        <v/>
      </c>
    </row>
    <row r="497" spans="2:9" x14ac:dyDescent="0.25">
      <c r="B497" s="5">
        <v>0.60758101851851853</v>
      </c>
      <c r="D497" s="6" t="s">
        <v>12</v>
      </c>
      <c r="E497" s="7" t="s">
        <v>17</v>
      </c>
      <c r="F497" s="7" t="s">
        <v>16</v>
      </c>
      <c r="H497" s="8" t="str">
        <f t="shared" si="22"/>
        <v/>
      </c>
      <c r="I497" s="8" t="str">
        <f t="shared" si="21"/>
        <v/>
      </c>
    </row>
    <row r="498" spans="2:9" x14ac:dyDescent="0.25">
      <c r="B498" s="5">
        <v>0.60773148148148148</v>
      </c>
      <c r="D498" s="6" t="s">
        <v>12</v>
      </c>
      <c r="E498" s="7" t="s">
        <v>19</v>
      </c>
      <c r="F498" s="7" t="s">
        <v>47</v>
      </c>
      <c r="G498" s="8" t="s">
        <v>15</v>
      </c>
      <c r="H498" s="8" t="str">
        <f t="shared" si="22"/>
        <v>NA</v>
      </c>
      <c r="I498" s="8" t="s">
        <v>30</v>
      </c>
    </row>
    <row r="499" spans="2:9" x14ac:dyDescent="0.25">
      <c r="B499" s="5">
        <v>0.60829861111111116</v>
      </c>
      <c r="D499" s="6" t="s">
        <v>12</v>
      </c>
      <c r="E499" s="7" t="s">
        <v>16</v>
      </c>
      <c r="F499" s="7" t="s">
        <v>47</v>
      </c>
      <c r="G499" s="8" t="s">
        <v>15</v>
      </c>
      <c r="H499" s="8" t="str">
        <f t="shared" si="22"/>
        <v>NA</v>
      </c>
      <c r="I499" s="8" t="s">
        <v>30</v>
      </c>
    </row>
    <row r="500" spans="2:9" x14ac:dyDescent="0.25">
      <c r="B500" s="5">
        <v>0.60902777777777783</v>
      </c>
      <c r="D500" s="6" t="s">
        <v>12</v>
      </c>
      <c r="E500" s="7" t="s">
        <v>9</v>
      </c>
      <c r="F500" s="7" t="s">
        <v>42</v>
      </c>
      <c r="H500" s="8" t="str">
        <f t="shared" si="22"/>
        <v/>
      </c>
      <c r="I500" s="8" t="str">
        <f t="shared" si="21"/>
        <v/>
      </c>
    </row>
    <row r="501" spans="2:9" x14ac:dyDescent="0.25">
      <c r="B501" s="5">
        <v>0.61086805555555557</v>
      </c>
      <c r="D501" s="6" t="s">
        <v>12</v>
      </c>
      <c r="E501" s="7" t="s">
        <v>23</v>
      </c>
      <c r="F501" s="7" t="s">
        <v>24</v>
      </c>
      <c r="H501" s="8" t="str">
        <f t="shared" si="22"/>
        <v/>
      </c>
      <c r="I501" s="8" t="str">
        <f t="shared" si="21"/>
        <v/>
      </c>
    </row>
    <row r="502" spans="2:9" x14ac:dyDescent="0.25">
      <c r="B502" s="5">
        <v>0.61311342592592599</v>
      </c>
      <c r="D502" s="6" t="s">
        <v>12</v>
      </c>
      <c r="E502" s="7" t="s">
        <v>42</v>
      </c>
      <c r="F502" s="7" t="s">
        <v>26</v>
      </c>
      <c r="G502" s="8" t="s">
        <v>15</v>
      </c>
      <c r="H502" s="8" t="str">
        <f t="shared" si="22"/>
        <v>NA</v>
      </c>
      <c r="I502" s="8" t="s">
        <v>30</v>
      </c>
    </row>
    <row r="503" spans="2:9" x14ac:dyDescent="0.25">
      <c r="B503" s="5">
        <v>0.61534722222222216</v>
      </c>
      <c r="D503" s="6" t="s">
        <v>12</v>
      </c>
      <c r="E503" s="7" t="s">
        <v>42</v>
      </c>
      <c r="F503" s="7" t="s">
        <v>33</v>
      </c>
      <c r="G503" s="8" t="s">
        <v>15</v>
      </c>
      <c r="H503" s="8" t="str">
        <f t="shared" si="22"/>
        <v>NA</v>
      </c>
      <c r="I503" s="8" t="s">
        <v>30</v>
      </c>
    </row>
    <row r="504" spans="2:9" x14ac:dyDescent="0.25">
      <c r="B504" s="5">
        <v>0.61690972222222229</v>
      </c>
      <c r="D504" s="6" t="s">
        <v>12</v>
      </c>
      <c r="E504" s="7" t="s">
        <v>42</v>
      </c>
      <c r="F504" s="7" t="s">
        <v>22</v>
      </c>
      <c r="G504" s="8" t="s">
        <v>15</v>
      </c>
      <c r="H504" s="8" t="str">
        <f t="shared" si="22"/>
        <v>NA</v>
      </c>
      <c r="I504" s="8" t="s">
        <v>30</v>
      </c>
    </row>
    <row r="505" spans="2:9" x14ac:dyDescent="0.25">
      <c r="B505" s="5">
        <v>0.61736111111111114</v>
      </c>
      <c r="D505" s="6" t="s">
        <v>12</v>
      </c>
      <c r="E505" s="7" t="s">
        <v>19</v>
      </c>
      <c r="F505" s="7" t="s">
        <v>65</v>
      </c>
      <c r="G505" s="8" t="s">
        <v>15</v>
      </c>
      <c r="H505" s="8" t="str">
        <f t="shared" si="22"/>
        <v>NA</v>
      </c>
      <c r="I505" s="8" t="s">
        <v>30</v>
      </c>
    </row>
    <row r="506" spans="2:9" x14ac:dyDescent="0.25">
      <c r="B506" s="5">
        <v>0.61866898148148153</v>
      </c>
      <c r="D506" s="6" t="s">
        <v>12</v>
      </c>
      <c r="E506" s="7" t="s">
        <v>19</v>
      </c>
      <c r="F506" s="7" t="s">
        <v>26</v>
      </c>
      <c r="G506" s="8" t="s">
        <v>15</v>
      </c>
      <c r="H506" s="8" t="str">
        <f t="shared" si="22"/>
        <v>NA</v>
      </c>
      <c r="I506" s="8" t="s">
        <v>30</v>
      </c>
    </row>
    <row r="507" spans="2:9" x14ac:dyDescent="0.25">
      <c r="B507" s="5">
        <v>0.61913194444444442</v>
      </c>
      <c r="D507" s="6" t="s">
        <v>12</v>
      </c>
      <c r="E507" s="7" t="s">
        <v>42</v>
      </c>
      <c r="F507" s="7" t="s">
        <v>18</v>
      </c>
      <c r="G507" s="8" t="s">
        <v>15</v>
      </c>
      <c r="H507" s="8" t="str">
        <f t="shared" si="22"/>
        <v>NA</v>
      </c>
      <c r="I507" s="8" t="s">
        <v>30</v>
      </c>
    </row>
    <row r="508" spans="2:9" x14ac:dyDescent="0.25">
      <c r="B508" s="5">
        <v>0.62034722222222227</v>
      </c>
      <c r="D508" s="6" t="s">
        <v>12</v>
      </c>
      <c r="E508" s="7" t="s">
        <v>16</v>
      </c>
      <c r="F508" s="7" t="s">
        <v>47</v>
      </c>
      <c r="G508" s="8" t="s">
        <v>15</v>
      </c>
      <c r="H508" s="8" t="str">
        <f t="shared" si="22"/>
        <v>NA</v>
      </c>
      <c r="I508" s="8" t="s">
        <v>30</v>
      </c>
    </row>
    <row r="509" spans="2:9" x14ac:dyDescent="0.25">
      <c r="B509" s="5">
        <v>0.63608796296296299</v>
      </c>
      <c r="D509" s="6" t="s">
        <v>12</v>
      </c>
      <c r="E509" s="7" t="s">
        <v>25</v>
      </c>
      <c r="F509" s="7" t="s">
        <v>26</v>
      </c>
      <c r="G509" s="8" t="s">
        <v>15</v>
      </c>
      <c r="H509" s="8" t="str">
        <f t="shared" si="22"/>
        <v>NA</v>
      </c>
      <c r="I509" s="8" t="s">
        <v>30</v>
      </c>
    </row>
    <row r="510" spans="2:9" x14ac:dyDescent="0.25">
      <c r="B510" s="5">
        <v>0.64586805555555549</v>
      </c>
      <c r="D510" s="6" t="s">
        <v>12</v>
      </c>
      <c r="E510" s="7" t="s">
        <v>19</v>
      </c>
      <c r="F510" s="7" t="s">
        <v>26</v>
      </c>
      <c r="G510" s="8" t="s">
        <v>15</v>
      </c>
      <c r="H510" s="8" t="str">
        <f t="shared" si="22"/>
        <v>NA</v>
      </c>
      <c r="I510" s="8" t="s">
        <v>30</v>
      </c>
    </row>
    <row r="511" spans="2:9" x14ac:dyDescent="0.25">
      <c r="B511" s="5">
        <v>0.64729166666666671</v>
      </c>
      <c r="D511" s="6" t="s">
        <v>12</v>
      </c>
      <c r="E511" s="7" t="s">
        <v>25</v>
      </c>
      <c r="F511" s="7" t="s">
        <v>19</v>
      </c>
      <c r="H511" s="8" t="str">
        <f t="shared" si="22"/>
        <v/>
      </c>
      <c r="I511" s="8" t="str">
        <f t="shared" si="21"/>
        <v/>
      </c>
    </row>
    <row r="512" spans="2:9" x14ac:dyDescent="0.25">
      <c r="B512" s="5">
        <v>0.64741898148148147</v>
      </c>
      <c r="D512" s="6" t="s">
        <v>12</v>
      </c>
      <c r="E512" s="7" t="s">
        <v>25</v>
      </c>
      <c r="F512" s="7" t="s">
        <v>27</v>
      </c>
      <c r="H512" s="8" t="str">
        <f t="shared" si="22"/>
        <v/>
      </c>
      <c r="I512" s="8" t="str">
        <f t="shared" si="21"/>
        <v/>
      </c>
    </row>
    <row r="513" spans="2:9" x14ac:dyDescent="0.25">
      <c r="B513" s="5">
        <v>0.6488194444444445</v>
      </c>
      <c r="D513" s="6" t="s">
        <v>12</v>
      </c>
      <c r="E513" s="7" t="s">
        <v>27</v>
      </c>
      <c r="F513" s="7" t="s">
        <v>25</v>
      </c>
      <c r="H513" s="8" t="str">
        <f t="shared" si="22"/>
        <v/>
      </c>
      <c r="I513" s="8" t="str">
        <f t="shared" si="21"/>
        <v/>
      </c>
    </row>
    <row r="514" spans="2:9" x14ac:dyDescent="0.25">
      <c r="B514" s="5">
        <v>0.65687499999999999</v>
      </c>
      <c r="D514" s="6" t="s">
        <v>12</v>
      </c>
      <c r="E514" s="7" t="s">
        <v>25</v>
      </c>
      <c r="F514" s="7" t="s">
        <v>32</v>
      </c>
      <c r="H514" s="8" t="str">
        <f t="shared" si="22"/>
        <v/>
      </c>
      <c r="I514" s="8" t="str">
        <f t="shared" si="21"/>
        <v/>
      </c>
    </row>
    <row r="515" spans="2:9" x14ac:dyDescent="0.25">
      <c r="B515" s="5"/>
      <c r="H515" s="8" t="str">
        <f t="shared" si="22"/>
        <v/>
      </c>
      <c r="I515" s="8" t="str">
        <f t="shared" si="21"/>
        <v/>
      </c>
    </row>
    <row r="516" spans="2:9" x14ac:dyDescent="0.25">
      <c r="H516" s="8" t="str">
        <f t="shared" si="22"/>
        <v/>
      </c>
      <c r="I516" s="8" t="str">
        <f t="shared" si="21"/>
        <v/>
      </c>
    </row>
    <row r="517" spans="2:9" x14ac:dyDescent="0.25">
      <c r="H517" s="8" t="str">
        <f t="shared" si="22"/>
        <v/>
      </c>
      <c r="I517" s="8" t="str">
        <f t="shared" si="21"/>
        <v/>
      </c>
    </row>
    <row r="518" spans="2:9" x14ac:dyDescent="0.25">
      <c r="H518" s="8" t="str">
        <f t="shared" si="22"/>
        <v/>
      </c>
      <c r="I518" s="8" t="str">
        <f t="shared" si="21"/>
        <v/>
      </c>
    </row>
    <row r="519" spans="2:9" x14ac:dyDescent="0.25">
      <c r="H519" s="8" t="str">
        <f t="shared" si="22"/>
        <v/>
      </c>
      <c r="I519" s="8" t="str">
        <f t="shared" si="21"/>
        <v/>
      </c>
    </row>
    <row r="520" spans="2:9" x14ac:dyDescent="0.25">
      <c r="H520" s="8" t="str">
        <f t="shared" si="22"/>
        <v/>
      </c>
      <c r="I520" s="8" t="str">
        <f t="shared" si="21"/>
        <v/>
      </c>
    </row>
    <row r="521" spans="2:9" x14ac:dyDescent="0.25">
      <c r="H521" s="8" t="str">
        <f t="shared" si="22"/>
        <v/>
      </c>
      <c r="I521" s="8" t="str">
        <f t="shared" si="21"/>
        <v/>
      </c>
    </row>
    <row r="522" spans="2:9" x14ac:dyDescent="0.25">
      <c r="H522" s="8" t="str">
        <f t="shared" si="22"/>
        <v/>
      </c>
      <c r="I522" s="8" t="str">
        <f t="shared" si="21"/>
        <v/>
      </c>
    </row>
    <row r="523" spans="2:9" x14ac:dyDescent="0.25">
      <c r="H523" s="8" t="str">
        <f t="shared" si="22"/>
        <v/>
      </c>
      <c r="I523" s="8" t="str">
        <f t="shared" si="21"/>
        <v/>
      </c>
    </row>
    <row r="524" spans="2:9" x14ac:dyDescent="0.25">
      <c r="H524" s="8" t="str">
        <f t="shared" si="22"/>
        <v/>
      </c>
      <c r="I524" s="8" t="str">
        <f t="shared" si="21"/>
        <v/>
      </c>
    </row>
    <row r="525" spans="2:9" x14ac:dyDescent="0.25">
      <c r="H525" s="8" t="str">
        <f t="shared" si="22"/>
        <v/>
      </c>
      <c r="I525" s="8" t="str">
        <f t="shared" si="21"/>
        <v/>
      </c>
    </row>
    <row r="526" spans="2:9" x14ac:dyDescent="0.25">
      <c r="H526" s="8" t="str">
        <f t="shared" si="22"/>
        <v/>
      </c>
      <c r="I526" s="8" t="str">
        <f t="shared" ref="I526:I589" si="23">IF(H526 = "y", "NA", "")</f>
        <v/>
      </c>
    </row>
    <row r="527" spans="2:9" x14ac:dyDescent="0.25">
      <c r="H527" s="8" t="str">
        <f t="shared" si="22"/>
        <v/>
      </c>
      <c r="I527" s="8" t="str">
        <f t="shared" si="23"/>
        <v/>
      </c>
    </row>
    <row r="528" spans="2:9" x14ac:dyDescent="0.25">
      <c r="H528" s="8" t="str">
        <f t="shared" si="22"/>
        <v/>
      </c>
      <c r="I528" s="8" t="str">
        <f t="shared" si="23"/>
        <v/>
      </c>
    </row>
    <row r="529" spans="8:9" x14ac:dyDescent="0.25">
      <c r="H529" s="8" t="str">
        <f t="shared" si="22"/>
        <v/>
      </c>
      <c r="I529" s="8" t="str">
        <f t="shared" si="23"/>
        <v/>
      </c>
    </row>
    <row r="530" spans="8:9" x14ac:dyDescent="0.25">
      <c r="H530" s="8" t="str">
        <f t="shared" si="22"/>
        <v/>
      </c>
      <c r="I530" s="8" t="str">
        <f t="shared" si="23"/>
        <v/>
      </c>
    </row>
    <row r="531" spans="8:9" x14ac:dyDescent="0.25">
      <c r="H531" s="8" t="str">
        <f t="shared" si="22"/>
        <v/>
      </c>
      <c r="I531" s="8" t="str">
        <f t="shared" si="23"/>
        <v/>
      </c>
    </row>
    <row r="532" spans="8:9" x14ac:dyDescent="0.25">
      <c r="H532" s="8" t="str">
        <f t="shared" si="22"/>
        <v/>
      </c>
      <c r="I532" s="8" t="str">
        <f t="shared" si="23"/>
        <v/>
      </c>
    </row>
    <row r="533" spans="8:9" x14ac:dyDescent="0.25">
      <c r="H533" s="8" t="str">
        <f t="shared" si="22"/>
        <v/>
      </c>
      <c r="I533" s="8" t="str">
        <f t="shared" si="23"/>
        <v/>
      </c>
    </row>
    <row r="534" spans="8:9" x14ac:dyDescent="0.25">
      <c r="H534" s="8" t="str">
        <f t="shared" si="22"/>
        <v/>
      </c>
      <c r="I534" s="8" t="str">
        <f t="shared" si="23"/>
        <v/>
      </c>
    </row>
    <row r="535" spans="8:9" x14ac:dyDescent="0.25">
      <c r="H535" s="8" t="str">
        <f t="shared" si="22"/>
        <v/>
      </c>
      <c r="I535" s="8" t="str">
        <f t="shared" si="23"/>
        <v/>
      </c>
    </row>
    <row r="536" spans="8:9" x14ac:dyDescent="0.25">
      <c r="H536" s="8" t="str">
        <f t="shared" si="22"/>
        <v/>
      </c>
      <c r="I536" s="8" t="str">
        <f t="shared" si="23"/>
        <v/>
      </c>
    </row>
    <row r="537" spans="8:9" x14ac:dyDescent="0.25">
      <c r="H537" s="8" t="str">
        <f t="shared" si="22"/>
        <v/>
      </c>
      <c r="I537" s="8" t="str">
        <f t="shared" si="23"/>
        <v/>
      </c>
    </row>
    <row r="538" spans="8:9" x14ac:dyDescent="0.25">
      <c r="H538" s="8" t="str">
        <f t="shared" si="22"/>
        <v/>
      </c>
      <c r="I538" s="8" t="str">
        <f t="shared" si="23"/>
        <v/>
      </c>
    </row>
    <row r="539" spans="8:9" x14ac:dyDescent="0.25">
      <c r="H539" s="8" t="str">
        <f t="shared" si="22"/>
        <v/>
      </c>
      <c r="I539" s="8" t="str">
        <f t="shared" si="23"/>
        <v/>
      </c>
    </row>
    <row r="540" spans="8:9" x14ac:dyDescent="0.25">
      <c r="H540" s="8" t="str">
        <f t="shared" si="22"/>
        <v/>
      </c>
      <c r="I540" s="8" t="str">
        <f t="shared" si="23"/>
        <v/>
      </c>
    </row>
    <row r="541" spans="8:9" x14ac:dyDescent="0.25">
      <c r="H541" s="8" t="str">
        <f t="shared" si="22"/>
        <v/>
      </c>
      <c r="I541" s="8" t="str">
        <f t="shared" si="23"/>
        <v/>
      </c>
    </row>
    <row r="542" spans="8:9" x14ac:dyDescent="0.25">
      <c r="H542" s="8" t="str">
        <f t="shared" si="22"/>
        <v/>
      </c>
      <c r="I542" s="8" t="str">
        <f t="shared" si="23"/>
        <v/>
      </c>
    </row>
    <row r="543" spans="8:9" x14ac:dyDescent="0.25">
      <c r="H543" s="8" t="str">
        <f t="shared" si="22"/>
        <v/>
      </c>
      <c r="I543" s="8" t="str">
        <f t="shared" si="23"/>
        <v/>
      </c>
    </row>
    <row r="544" spans="8:9" x14ac:dyDescent="0.25">
      <c r="H544" s="8" t="str">
        <f t="shared" si="22"/>
        <v/>
      </c>
      <c r="I544" s="8" t="str">
        <f t="shared" si="23"/>
        <v/>
      </c>
    </row>
    <row r="545" spans="8:9" x14ac:dyDescent="0.25">
      <c r="H545" s="8" t="str">
        <f t="shared" si="22"/>
        <v/>
      </c>
      <c r="I545" s="8" t="str">
        <f t="shared" si="23"/>
        <v/>
      </c>
    </row>
    <row r="546" spans="8:9" x14ac:dyDescent="0.25">
      <c r="H546" s="8" t="str">
        <f t="shared" ref="H546:H609" si="24">IF(G546 = "n", "NA", "")</f>
        <v/>
      </c>
      <c r="I546" s="8" t="str">
        <f t="shared" si="23"/>
        <v/>
      </c>
    </row>
    <row r="547" spans="8:9" x14ac:dyDescent="0.25">
      <c r="H547" s="8" t="str">
        <f t="shared" si="24"/>
        <v/>
      </c>
      <c r="I547" s="8" t="str">
        <f t="shared" si="23"/>
        <v/>
      </c>
    </row>
    <row r="548" spans="8:9" x14ac:dyDescent="0.25">
      <c r="H548" s="8" t="str">
        <f t="shared" si="24"/>
        <v/>
      </c>
      <c r="I548" s="8" t="str">
        <f t="shared" si="23"/>
        <v/>
      </c>
    </row>
    <row r="549" spans="8:9" x14ac:dyDescent="0.25">
      <c r="H549" s="8" t="str">
        <f t="shared" si="24"/>
        <v/>
      </c>
      <c r="I549" s="8" t="str">
        <f t="shared" si="23"/>
        <v/>
      </c>
    </row>
    <row r="550" spans="8:9" x14ac:dyDescent="0.25">
      <c r="H550" s="8" t="str">
        <f t="shared" si="24"/>
        <v/>
      </c>
      <c r="I550" s="8" t="str">
        <f t="shared" si="23"/>
        <v/>
      </c>
    </row>
    <row r="551" spans="8:9" x14ac:dyDescent="0.25">
      <c r="H551" s="8" t="str">
        <f t="shared" si="24"/>
        <v/>
      </c>
      <c r="I551" s="8" t="str">
        <f t="shared" si="23"/>
        <v/>
      </c>
    </row>
    <row r="552" spans="8:9" x14ac:dyDescent="0.25">
      <c r="H552" s="8" t="str">
        <f t="shared" si="24"/>
        <v/>
      </c>
      <c r="I552" s="8" t="str">
        <f t="shared" si="23"/>
        <v/>
      </c>
    </row>
    <row r="553" spans="8:9" x14ac:dyDescent="0.25">
      <c r="H553" s="8" t="str">
        <f t="shared" si="24"/>
        <v/>
      </c>
      <c r="I553" s="8" t="str">
        <f t="shared" si="23"/>
        <v/>
      </c>
    </row>
    <row r="554" spans="8:9" x14ac:dyDescent="0.25">
      <c r="H554" s="8" t="str">
        <f t="shared" si="24"/>
        <v/>
      </c>
      <c r="I554" s="8" t="str">
        <f t="shared" si="23"/>
        <v/>
      </c>
    </row>
    <row r="555" spans="8:9" x14ac:dyDescent="0.25">
      <c r="H555" s="8" t="str">
        <f t="shared" si="24"/>
        <v/>
      </c>
      <c r="I555" s="8" t="str">
        <f t="shared" si="23"/>
        <v/>
      </c>
    </row>
    <row r="556" spans="8:9" x14ac:dyDescent="0.25">
      <c r="H556" s="8" t="str">
        <f t="shared" si="24"/>
        <v/>
      </c>
      <c r="I556" s="8" t="str">
        <f t="shared" si="23"/>
        <v/>
      </c>
    </row>
    <row r="557" spans="8:9" x14ac:dyDescent="0.25">
      <c r="H557" s="8" t="str">
        <f t="shared" si="24"/>
        <v/>
      </c>
      <c r="I557" s="8" t="str">
        <f t="shared" si="23"/>
        <v/>
      </c>
    </row>
    <row r="558" spans="8:9" x14ac:dyDescent="0.25">
      <c r="H558" s="8" t="str">
        <f t="shared" si="24"/>
        <v/>
      </c>
      <c r="I558" s="8" t="str">
        <f t="shared" si="23"/>
        <v/>
      </c>
    </row>
    <row r="559" spans="8:9" x14ac:dyDescent="0.25">
      <c r="H559" s="8" t="str">
        <f t="shared" si="24"/>
        <v/>
      </c>
      <c r="I559" s="8" t="str">
        <f t="shared" si="23"/>
        <v/>
      </c>
    </row>
    <row r="560" spans="8:9" x14ac:dyDescent="0.25">
      <c r="H560" s="8" t="str">
        <f t="shared" si="24"/>
        <v/>
      </c>
      <c r="I560" s="8" t="str">
        <f t="shared" si="23"/>
        <v/>
      </c>
    </row>
    <row r="561" spans="8:9" x14ac:dyDescent="0.25">
      <c r="H561" s="8" t="str">
        <f t="shared" si="24"/>
        <v/>
      </c>
      <c r="I561" s="8" t="str">
        <f t="shared" si="23"/>
        <v/>
      </c>
    </row>
    <row r="562" spans="8:9" x14ac:dyDescent="0.25">
      <c r="H562" s="8" t="str">
        <f t="shared" si="24"/>
        <v/>
      </c>
      <c r="I562" s="8" t="str">
        <f t="shared" si="23"/>
        <v/>
      </c>
    </row>
    <row r="563" spans="8:9" x14ac:dyDescent="0.25">
      <c r="H563" s="8" t="str">
        <f t="shared" si="24"/>
        <v/>
      </c>
      <c r="I563" s="8" t="str">
        <f t="shared" si="23"/>
        <v/>
      </c>
    </row>
    <row r="564" spans="8:9" x14ac:dyDescent="0.25">
      <c r="H564" s="8" t="str">
        <f t="shared" si="24"/>
        <v/>
      </c>
      <c r="I564" s="8" t="str">
        <f t="shared" si="23"/>
        <v/>
      </c>
    </row>
    <row r="565" spans="8:9" x14ac:dyDescent="0.25">
      <c r="H565" s="8" t="str">
        <f t="shared" si="24"/>
        <v/>
      </c>
      <c r="I565" s="8" t="str">
        <f t="shared" si="23"/>
        <v/>
      </c>
    </row>
    <row r="566" spans="8:9" x14ac:dyDescent="0.25">
      <c r="H566" s="8" t="str">
        <f t="shared" si="24"/>
        <v/>
      </c>
      <c r="I566" s="8" t="str">
        <f t="shared" si="23"/>
        <v/>
      </c>
    </row>
    <row r="567" spans="8:9" x14ac:dyDescent="0.25">
      <c r="H567" s="8" t="str">
        <f t="shared" si="24"/>
        <v/>
      </c>
      <c r="I567" s="8" t="str">
        <f t="shared" si="23"/>
        <v/>
      </c>
    </row>
    <row r="568" spans="8:9" x14ac:dyDescent="0.25">
      <c r="H568" s="8" t="str">
        <f t="shared" si="24"/>
        <v/>
      </c>
      <c r="I568" s="8" t="str">
        <f t="shared" si="23"/>
        <v/>
      </c>
    </row>
    <row r="569" spans="8:9" x14ac:dyDescent="0.25">
      <c r="H569" s="8" t="str">
        <f t="shared" si="24"/>
        <v/>
      </c>
      <c r="I569" s="8" t="str">
        <f t="shared" si="23"/>
        <v/>
      </c>
    </row>
    <row r="570" spans="8:9" x14ac:dyDescent="0.25">
      <c r="H570" s="8" t="str">
        <f t="shared" si="24"/>
        <v/>
      </c>
      <c r="I570" s="8" t="str">
        <f t="shared" si="23"/>
        <v/>
      </c>
    </row>
    <row r="571" spans="8:9" x14ac:dyDescent="0.25">
      <c r="H571" s="8" t="str">
        <f t="shared" si="24"/>
        <v/>
      </c>
      <c r="I571" s="8" t="str">
        <f t="shared" si="23"/>
        <v/>
      </c>
    </row>
    <row r="572" spans="8:9" x14ac:dyDescent="0.25">
      <c r="H572" s="8" t="str">
        <f t="shared" si="24"/>
        <v/>
      </c>
      <c r="I572" s="8" t="str">
        <f t="shared" si="23"/>
        <v/>
      </c>
    </row>
    <row r="573" spans="8:9" x14ac:dyDescent="0.25">
      <c r="H573" s="8" t="str">
        <f t="shared" si="24"/>
        <v/>
      </c>
      <c r="I573" s="8" t="str">
        <f t="shared" si="23"/>
        <v/>
      </c>
    </row>
    <row r="574" spans="8:9" x14ac:dyDescent="0.25">
      <c r="H574" s="8" t="str">
        <f t="shared" si="24"/>
        <v/>
      </c>
      <c r="I574" s="8" t="str">
        <f t="shared" si="23"/>
        <v/>
      </c>
    </row>
    <row r="575" spans="8:9" x14ac:dyDescent="0.25">
      <c r="H575" s="8" t="str">
        <f t="shared" si="24"/>
        <v/>
      </c>
      <c r="I575" s="8" t="str">
        <f t="shared" si="23"/>
        <v/>
      </c>
    </row>
    <row r="576" spans="8:9" x14ac:dyDescent="0.25">
      <c r="H576" s="8" t="str">
        <f t="shared" si="24"/>
        <v/>
      </c>
      <c r="I576" s="8" t="str">
        <f t="shared" si="23"/>
        <v/>
      </c>
    </row>
    <row r="577" spans="8:9" x14ac:dyDescent="0.25">
      <c r="H577" s="8" t="str">
        <f t="shared" si="24"/>
        <v/>
      </c>
      <c r="I577" s="8" t="str">
        <f t="shared" si="23"/>
        <v/>
      </c>
    </row>
    <row r="578" spans="8:9" x14ac:dyDescent="0.25">
      <c r="H578" s="8" t="str">
        <f t="shared" si="24"/>
        <v/>
      </c>
      <c r="I578" s="8" t="str">
        <f t="shared" si="23"/>
        <v/>
      </c>
    </row>
    <row r="579" spans="8:9" x14ac:dyDescent="0.25">
      <c r="H579" s="8" t="str">
        <f t="shared" si="24"/>
        <v/>
      </c>
      <c r="I579" s="8" t="str">
        <f t="shared" si="23"/>
        <v/>
      </c>
    </row>
    <row r="580" spans="8:9" x14ac:dyDescent="0.25">
      <c r="H580" s="8" t="str">
        <f t="shared" si="24"/>
        <v/>
      </c>
      <c r="I580" s="8" t="str">
        <f t="shared" si="23"/>
        <v/>
      </c>
    </row>
    <row r="581" spans="8:9" x14ac:dyDescent="0.25">
      <c r="H581" s="8" t="str">
        <f t="shared" si="24"/>
        <v/>
      </c>
      <c r="I581" s="8" t="str">
        <f t="shared" si="23"/>
        <v/>
      </c>
    </row>
    <row r="582" spans="8:9" x14ac:dyDescent="0.25">
      <c r="H582" s="8" t="str">
        <f t="shared" si="24"/>
        <v/>
      </c>
      <c r="I582" s="8" t="str">
        <f t="shared" si="23"/>
        <v/>
      </c>
    </row>
    <row r="583" spans="8:9" x14ac:dyDescent="0.25">
      <c r="H583" s="8" t="str">
        <f t="shared" si="24"/>
        <v/>
      </c>
      <c r="I583" s="8" t="str">
        <f t="shared" si="23"/>
        <v/>
      </c>
    </row>
    <row r="584" spans="8:9" x14ac:dyDescent="0.25">
      <c r="H584" s="8" t="str">
        <f t="shared" si="24"/>
        <v/>
      </c>
      <c r="I584" s="8" t="str">
        <f t="shared" si="23"/>
        <v/>
      </c>
    </row>
    <row r="585" spans="8:9" x14ac:dyDescent="0.25">
      <c r="H585" s="8" t="str">
        <f t="shared" si="24"/>
        <v/>
      </c>
      <c r="I585" s="8" t="str">
        <f t="shared" si="23"/>
        <v/>
      </c>
    </row>
    <row r="586" spans="8:9" x14ac:dyDescent="0.25">
      <c r="H586" s="8" t="str">
        <f t="shared" si="24"/>
        <v/>
      </c>
      <c r="I586" s="8" t="str">
        <f t="shared" si="23"/>
        <v/>
      </c>
    </row>
    <row r="587" spans="8:9" x14ac:dyDescent="0.25">
      <c r="H587" s="8" t="str">
        <f t="shared" si="24"/>
        <v/>
      </c>
      <c r="I587" s="8" t="str">
        <f t="shared" si="23"/>
        <v/>
      </c>
    </row>
    <row r="588" spans="8:9" x14ac:dyDescent="0.25">
      <c r="H588" s="8" t="str">
        <f t="shared" si="24"/>
        <v/>
      </c>
      <c r="I588" s="8" t="str">
        <f t="shared" si="23"/>
        <v/>
      </c>
    </row>
    <row r="589" spans="8:9" x14ac:dyDescent="0.25">
      <c r="H589" s="8" t="str">
        <f t="shared" si="24"/>
        <v/>
      </c>
      <c r="I589" s="8" t="str">
        <f t="shared" si="23"/>
        <v/>
      </c>
    </row>
    <row r="590" spans="8:9" x14ac:dyDescent="0.25">
      <c r="H590" s="8" t="str">
        <f t="shared" si="24"/>
        <v/>
      </c>
      <c r="I590" s="8" t="str">
        <f t="shared" ref="I590:I653" si="25">IF(H590 = "y", "NA", "")</f>
        <v/>
      </c>
    </row>
    <row r="591" spans="8:9" x14ac:dyDescent="0.25">
      <c r="H591" s="8" t="str">
        <f t="shared" si="24"/>
        <v/>
      </c>
      <c r="I591" s="8" t="str">
        <f t="shared" si="25"/>
        <v/>
      </c>
    </row>
    <row r="592" spans="8:9" x14ac:dyDescent="0.25">
      <c r="H592" s="8" t="str">
        <f t="shared" si="24"/>
        <v/>
      </c>
      <c r="I592" s="8" t="str">
        <f t="shared" si="25"/>
        <v/>
      </c>
    </row>
    <row r="593" spans="8:9" x14ac:dyDescent="0.25">
      <c r="H593" s="8" t="str">
        <f t="shared" si="24"/>
        <v/>
      </c>
      <c r="I593" s="8" t="str">
        <f t="shared" si="25"/>
        <v/>
      </c>
    </row>
    <row r="594" spans="8:9" x14ac:dyDescent="0.25">
      <c r="H594" s="8" t="str">
        <f t="shared" si="24"/>
        <v/>
      </c>
      <c r="I594" s="8" t="str">
        <f t="shared" si="25"/>
        <v/>
      </c>
    </row>
    <row r="595" spans="8:9" x14ac:dyDescent="0.25">
      <c r="H595" s="8" t="str">
        <f t="shared" si="24"/>
        <v/>
      </c>
      <c r="I595" s="8" t="str">
        <f t="shared" si="25"/>
        <v/>
      </c>
    </row>
    <row r="596" spans="8:9" x14ac:dyDescent="0.25">
      <c r="H596" s="8" t="str">
        <f t="shared" si="24"/>
        <v/>
      </c>
      <c r="I596" s="8" t="str">
        <f t="shared" si="25"/>
        <v/>
      </c>
    </row>
    <row r="597" spans="8:9" x14ac:dyDescent="0.25">
      <c r="H597" s="8" t="str">
        <f t="shared" si="24"/>
        <v/>
      </c>
      <c r="I597" s="8" t="str">
        <f t="shared" si="25"/>
        <v/>
      </c>
    </row>
    <row r="598" spans="8:9" x14ac:dyDescent="0.25">
      <c r="H598" s="8" t="str">
        <f t="shared" si="24"/>
        <v/>
      </c>
      <c r="I598" s="8" t="str">
        <f t="shared" si="25"/>
        <v/>
      </c>
    </row>
    <row r="599" spans="8:9" x14ac:dyDescent="0.25">
      <c r="H599" s="8" t="str">
        <f t="shared" si="24"/>
        <v/>
      </c>
      <c r="I599" s="8" t="str">
        <f t="shared" si="25"/>
        <v/>
      </c>
    </row>
    <row r="600" spans="8:9" x14ac:dyDescent="0.25">
      <c r="H600" s="8" t="str">
        <f t="shared" si="24"/>
        <v/>
      </c>
      <c r="I600" s="8" t="str">
        <f t="shared" si="25"/>
        <v/>
      </c>
    </row>
    <row r="601" spans="8:9" x14ac:dyDescent="0.25">
      <c r="H601" s="8" t="str">
        <f t="shared" si="24"/>
        <v/>
      </c>
      <c r="I601" s="8" t="str">
        <f t="shared" si="25"/>
        <v/>
      </c>
    </row>
    <row r="602" spans="8:9" x14ac:dyDescent="0.25">
      <c r="H602" s="8" t="str">
        <f t="shared" si="24"/>
        <v/>
      </c>
      <c r="I602" s="8" t="str">
        <f t="shared" si="25"/>
        <v/>
      </c>
    </row>
    <row r="603" spans="8:9" x14ac:dyDescent="0.25">
      <c r="H603" s="8" t="str">
        <f t="shared" si="24"/>
        <v/>
      </c>
      <c r="I603" s="8" t="str">
        <f t="shared" si="25"/>
        <v/>
      </c>
    </row>
    <row r="604" spans="8:9" x14ac:dyDescent="0.25">
      <c r="H604" s="8" t="str">
        <f t="shared" si="24"/>
        <v/>
      </c>
      <c r="I604" s="8" t="str">
        <f t="shared" si="25"/>
        <v/>
      </c>
    </row>
    <row r="605" spans="8:9" x14ac:dyDescent="0.25">
      <c r="H605" s="8" t="str">
        <f t="shared" si="24"/>
        <v/>
      </c>
      <c r="I605" s="8" t="str">
        <f t="shared" si="25"/>
        <v/>
      </c>
    </row>
    <row r="606" spans="8:9" x14ac:dyDescent="0.25">
      <c r="H606" s="8" t="str">
        <f t="shared" si="24"/>
        <v/>
      </c>
      <c r="I606" s="8" t="str">
        <f t="shared" si="25"/>
        <v/>
      </c>
    </row>
    <row r="607" spans="8:9" x14ac:dyDescent="0.25">
      <c r="H607" s="8" t="str">
        <f t="shared" si="24"/>
        <v/>
      </c>
      <c r="I607" s="8" t="str">
        <f t="shared" si="25"/>
        <v/>
      </c>
    </row>
    <row r="608" spans="8:9" x14ac:dyDescent="0.25">
      <c r="H608" s="8" t="str">
        <f t="shared" si="24"/>
        <v/>
      </c>
      <c r="I608" s="8" t="str">
        <f t="shared" si="25"/>
        <v/>
      </c>
    </row>
    <row r="609" spans="8:9" x14ac:dyDescent="0.25">
      <c r="H609" s="8" t="str">
        <f t="shared" si="24"/>
        <v/>
      </c>
      <c r="I609" s="8" t="str">
        <f t="shared" si="25"/>
        <v/>
      </c>
    </row>
    <row r="610" spans="8:9" x14ac:dyDescent="0.25">
      <c r="H610" s="8" t="str">
        <f t="shared" ref="H610:H673" si="26">IF(G610 = "n", "NA", "")</f>
        <v/>
      </c>
      <c r="I610" s="8" t="str">
        <f t="shared" si="25"/>
        <v/>
      </c>
    </row>
    <row r="611" spans="8:9" x14ac:dyDescent="0.25">
      <c r="H611" s="8" t="str">
        <f t="shared" si="26"/>
        <v/>
      </c>
      <c r="I611" s="8" t="str">
        <f t="shared" si="25"/>
        <v/>
      </c>
    </row>
    <row r="612" spans="8:9" x14ac:dyDescent="0.25">
      <c r="H612" s="8" t="str">
        <f t="shared" si="26"/>
        <v/>
      </c>
      <c r="I612" s="8" t="str">
        <f t="shared" si="25"/>
        <v/>
      </c>
    </row>
    <row r="613" spans="8:9" x14ac:dyDescent="0.25">
      <c r="H613" s="8" t="str">
        <f t="shared" si="26"/>
        <v/>
      </c>
      <c r="I613" s="8" t="str">
        <f t="shared" si="25"/>
        <v/>
      </c>
    </row>
    <row r="614" spans="8:9" x14ac:dyDescent="0.25">
      <c r="H614" s="8" t="str">
        <f t="shared" si="26"/>
        <v/>
      </c>
      <c r="I614" s="8" t="str">
        <f t="shared" si="25"/>
        <v/>
      </c>
    </row>
    <row r="615" spans="8:9" x14ac:dyDescent="0.25">
      <c r="H615" s="8" t="str">
        <f t="shared" si="26"/>
        <v/>
      </c>
      <c r="I615" s="8" t="str">
        <f t="shared" si="25"/>
        <v/>
      </c>
    </row>
    <row r="616" spans="8:9" x14ac:dyDescent="0.25">
      <c r="H616" s="8" t="str">
        <f t="shared" si="26"/>
        <v/>
      </c>
      <c r="I616" s="8" t="str">
        <f t="shared" si="25"/>
        <v/>
      </c>
    </row>
    <row r="617" spans="8:9" x14ac:dyDescent="0.25">
      <c r="H617" s="8" t="str">
        <f t="shared" si="26"/>
        <v/>
      </c>
      <c r="I617" s="8" t="str">
        <f t="shared" si="25"/>
        <v/>
      </c>
    </row>
    <row r="618" spans="8:9" x14ac:dyDescent="0.25">
      <c r="H618" s="8" t="str">
        <f t="shared" si="26"/>
        <v/>
      </c>
      <c r="I618" s="8" t="str">
        <f t="shared" si="25"/>
        <v/>
      </c>
    </row>
    <row r="619" spans="8:9" x14ac:dyDescent="0.25">
      <c r="H619" s="8" t="str">
        <f t="shared" si="26"/>
        <v/>
      </c>
      <c r="I619" s="8" t="str">
        <f t="shared" si="25"/>
        <v/>
      </c>
    </row>
    <row r="620" spans="8:9" x14ac:dyDescent="0.25">
      <c r="H620" s="8" t="str">
        <f t="shared" si="26"/>
        <v/>
      </c>
      <c r="I620" s="8" t="str">
        <f t="shared" si="25"/>
        <v/>
      </c>
    </row>
    <row r="621" spans="8:9" x14ac:dyDescent="0.25">
      <c r="H621" s="8" t="str">
        <f t="shared" si="26"/>
        <v/>
      </c>
      <c r="I621" s="8" t="str">
        <f t="shared" si="25"/>
        <v/>
      </c>
    </row>
    <row r="622" spans="8:9" x14ac:dyDescent="0.25">
      <c r="H622" s="8" t="str">
        <f t="shared" si="26"/>
        <v/>
      </c>
      <c r="I622" s="8" t="str">
        <f t="shared" si="25"/>
        <v/>
      </c>
    </row>
    <row r="623" spans="8:9" x14ac:dyDescent="0.25">
      <c r="H623" s="8" t="str">
        <f t="shared" si="26"/>
        <v/>
      </c>
      <c r="I623" s="8" t="str">
        <f t="shared" si="25"/>
        <v/>
      </c>
    </row>
    <row r="624" spans="8:9" x14ac:dyDescent="0.25">
      <c r="H624" s="8" t="str">
        <f t="shared" si="26"/>
        <v/>
      </c>
      <c r="I624" s="8" t="str">
        <f t="shared" si="25"/>
        <v/>
      </c>
    </row>
    <row r="625" spans="8:9" x14ac:dyDescent="0.25">
      <c r="H625" s="8" t="str">
        <f t="shared" si="26"/>
        <v/>
      </c>
      <c r="I625" s="8" t="str">
        <f t="shared" si="25"/>
        <v/>
      </c>
    </row>
    <row r="626" spans="8:9" x14ac:dyDescent="0.25">
      <c r="H626" s="8" t="str">
        <f t="shared" si="26"/>
        <v/>
      </c>
      <c r="I626" s="8" t="str">
        <f t="shared" si="25"/>
        <v/>
      </c>
    </row>
    <row r="627" spans="8:9" x14ac:dyDescent="0.25">
      <c r="H627" s="8" t="str">
        <f t="shared" si="26"/>
        <v/>
      </c>
      <c r="I627" s="8" t="str">
        <f t="shared" si="25"/>
        <v/>
      </c>
    </row>
    <row r="628" spans="8:9" x14ac:dyDescent="0.25">
      <c r="H628" s="8" t="str">
        <f t="shared" si="26"/>
        <v/>
      </c>
      <c r="I628" s="8" t="str">
        <f t="shared" si="25"/>
        <v/>
      </c>
    </row>
    <row r="629" spans="8:9" x14ac:dyDescent="0.25">
      <c r="H629" s="8" t="str">
        <f t="shared" si="26"/>
        <v/>
      </c>
      <c r="I629" s="8" t="str">
        <f t="shared" si="25"/>
        <v/>
      </c>
    </row>
    <row r="630" spans="8:9" x14ac:dyDescent="0.25">
      <c r="H630" s="8" t="str">
        <f t="shared" si="26"/>
        <v/>
      </c>
      <c r="I630" s="8" t="str">
        <f t="shared" si="25"/>
        <v/>
      </c>
    </row>
    <row r="631" spans="8:9" x14ac:dyDescent="0.25">
      <c r="H631" s="8" t="str">
        <f t="shared" si="26"/>
        <v/>
      </c>
      <c r="I631" s="8" t="str">
        <f t="shared" si="25"/>
        <v/>
      </c>
    </row>
    <row r="632" spans="8:9" x14ac:dyDescent="0.25">
      <c r="H632" s="8" t="str">
        <f t="shared" si="26"/>
        <v/>
      </c>
      <c r="I632" s="8" t="str">
        <f t="shared" si="25"/>
        <v/>
      </c>
    </row>
    <row r="633" spans="8:9" x14ac:dyDescent="0.25">
      <c r="H633" s="8" t="str">
        <f t="shared" si="26"/>
        <v/>
      </c>
      <c r="I633" s="8" t="str">
        <f t="shared" si="25"/>
        <v/>
      </c>
    </row>
    <row r="634" spans="8:9" x14ac:dyDescent="0.25">
      <c r="H634" s="8" t="str">
        <f t="shared" si="26"/>
        <v/>
      </c>
      <c r="I634" s="8" t="str">
        <f t="shared" si="25"/>
        <v/>
      </c>
    </row>
    <row r="635" spans="8:9" x14ac:dyDescent="0.25">
      <c r="H635" s="8" t="str">
        <f t="shared" si="26"/>
        <v/>
      </c>
      <c r="I635" s="8" t="str">
        <f t="shared" si="25"/>
        <v/>
      </c>
    </row>
    <row r="636" spans="8:9" x14ac:dyDescent="0.25">
      <c r="H636" s="8" t="str">
        <f t="shared" si="26"/>
        <v/>
      </c>
      <c r="I636" s="8" t="str">
        <f t="shared" si="25"/>
        <v/>
      </c>
    </row>
    <row r="637" spans="8:9" x14ac:dyDescent="0.25">
      <c r="H637" s="8" t="str">
        <f t="shared" si="26"/>
        <v/>
      </c>
      <c r="I637" s="8" t="str">
        <f t="shared" si="25"/>
        <v/>
      </c>
    </row>
    <row r="638" spans="8:9" x14ac:dyDescent="0.25">
      <c r="H638" s="8" t="str">
        <f t="shared" si="26"/>
        <v/>
      </c>
      <c r="I638" s="8" t="str">
        <f t="shared" si="25"/>
        <v/>
      </c>
    </row>
    <row r="639" spans="8:9" x14ac:dyDescent="0.25">
      <c r="H639" s="8" t="str">
        <f t="shared" si="26"/>
        <v/>
      </c>
      <c r="I639" s="8" t="str">
        <f t="shared" si="25"/>
        <v/>
      </c>
    </row>
    <row r="640" spans="8:9" x14ac:dyDescent="0.25">
      <c r="H640" s="8" t="str">
        <f t="shared" si="26"/>
        <v/>
      </c>
      <c r="I640" s="8" t="str">
        <f t="shared" si="25"/>
        <v/>
      </c>
    </row>
    <row r="641" spans="8:9" x14ac:dyDescent="0.25">
      <c r="H641" s="8" t="str">
        <f t="shared" si="26"/>
        <v/>
      </c>
      <c r="I641" s="8" t="str">
        <f t="shared" si="25"/>
        <v/>
      </c>
    </row>
    <row r="642" spans="8:9" x14ac:dyDescent="0.25">
      <c r="H642" s="8" t="str">
        <f t="shared" si="26"/>
        <v/>
      </c>
      <c r="I642" s="8" t="str">
        <f t="shared" si="25"/>
        <v/>
      </c>
    </row>
    <row r="643" spans="8:9" x14ac:dyDescent="0.25">
      <c r="H643" s="8" t="str">
        <f t="shared" si="26"/>
        <v/>
      </c>
      <c r="I643" s="8" t="str">
        <f t="shared" si="25"/>
        <v/>
      </c>
    </row>
    <row r="644" spans="8:9" x14ac:dyDescent="0.25">
      <c r="H644" s="8" t="str">
        <f t="shared" si="26"/>
        <v/>
      </c>
      <c r="I644" s="8" t="str">
        <f t="shared" si="25"/>
        <v/>
      </c>
    </row>
    <row r="645" spans="8:9" x14ac:dyDescent="0.25">
      <c r="H645" s="8" t="str">
        <f t="shared" si="26"/>
        <v/>
      </c>
      <c r="I645" s="8" t="str">
        <f t="shared" si="25"/>
        <v/>
      </c>
    </row>
    <row r="646" spans="8:9" x14ac:dyDescent="0.25">
      <c r="H646" s="8" t="str">
        <f t="shared" si="26"/>
        <v/>
      </c>
      <c r="I646" s="8" t="str">
        <f t="shared" si="25"/>
        <v/>
      </c>
    </row>
    <row r="647" spans="8:9" x14ac:dyDescent="0.25">
      <c r="H647" s="8" t="str">
        <f t="shared" si="26"/>
        <v/>
      </c>
      <c r="I647" s="8" t="str">
        <f t="shared" si="25"/>
        <v/>
      </c>
    </row>
    <row r="648" spans="8:9" x14ac:dyDescent="0.25">
      <c r="H648" s="8" t="str">
        <f t="shared" si="26"/>
        <v/>
      </c>
      <c r="I648" s="8" t="str">
        <f t="shared" si="25"/>
        <v/>
      </c>
    </row>
    <row r="649" spans="8:9" x14ac:dyDescent="0.25">
      <c r="H649" s="8" t="str">
        <f t="shared" si="26"/>
        <v/>
      </c>
      <c r="I649" s="8" t="str">
        <f t="shared" si="25"/>
        <v/>
      </c>
    </row>
    <row r="650" spans="8:9" x14ac:dyDescent="0.25">
      <c r="H650" s="8" t="str">
        <f t="shared" si="26"/>
        <v/>
      </c>
      <c r="I650" s="8" t="str">
        <f t="shared" si="25"/>
        <v/>
      </c>
    </row>
    <row r="651" spans="8:9" x14ac:dyDescent="0.25">
      <c r="H651" s="8" t="str">
        <f t="shared" si="26"/>
        <v/>
      </c>
      <c r="I651" s="8" t="str">
        <f t="shared" si="25"/>
        <v/>
      </c>
    </row>
    <row r="652" spans="8:9" x14ac:dyDescent="0.25">
      <c r="H652" s="8" t="str">
        <f t="shared" si="26"/>
        <v/>
      </c>
      <c r="I652" s="8" t="str">
        <f t="shared" si="25"/>
        <v/>
      </c>
    </row>
    <row r="653" spans="8:9" x14ac:dyDescent="0.25">
      <c r="H653" s="8" t="str">
        <f t="shared" si="26"/>
        <v/>
      </c>
      <c r="I653" s="8" t="str">
        <f t="shared" si="25"/>
        <v/>
      </c>
    </row>
    <row r="654" spans="8:9" x14ac:dyDescent="0.25">
      <c r="H654" s="8" t="str">
        <f t="shared" si="26"/>
        <v/>
      </c>
      <c r="I654" s="8" t="str">
        <f t="shared" ref="I654:I717" si="27">IF(H654 = "y", "NA", "")</f>
        <v/>
      </c>
    </row>
    <row r="655" spans="8:9" x14ac:dyDescent="0.25">
      <c r="H655" s="8" t="str">
        <f t="shared" si="26"/>
        <v/>
      </c>
      <c r="I655" s="8" t="str">
        <f t="shared" si="27"/>
        <v/>
      </c>
    </row>
    <row r="656" spans="8:9" x14ac:dyDescent="0.25">
      <c r="H656" s="8" t="str">
        <f t="shared" si="26"/>
        <v/>
      </c>
      <c r="I656" s="8" t="str">
        <f t="shared" si="27"/>
        <v/>
      </c>
    </row>
    <row r="657" spans="8:9" x14ac:dyDescent="0.25">
      <c r="H657" s="8" t="str">
        <f t="shared" si="26"/>
        <v/>
      </c>
      <c r="I657" s="8" t="str">
        <f t="shared" si="27"/>
        <v/>
      </c>
    </row>
    <row r="658" spans="8:9" x14ac:dyDescent="0.25">
      <c r="H658" s="8" t="str">
        <f t="shared" si="26"/>
        <v/>
      </c>
      <c r="I658" s="8" t="str">
        <f t="shared" si="27"/>
        <v/>
      </c>
    </row>
    <row r="659" spans="8:9" x14ac:dyDescent="0.25">
      <c r="H659" s="8" t="str">
        <f t="shared" si="26"/>
        <v/>
      </c>
      <c r="I659" s="8" t="str">
        <f t="shared" si="27"/>
        <v/>
      </c>
    </row>
    <row r="660" spans="8:9" x14ac:dyDescent="0.25">
      <c r="H660" s="8" t="str">
        <f t="shared" si="26"/>
        <v/>
      </c>
      <c r="I660" s="8" t="str">
        <f t="shared" si="27"/>
        <v/>
      </c>
    </row>
    <row r="661" spans="8:9" x14ac:dyDescent="0.25">
      <c r="H661" s="8" t="str">
        <f t="shared" si="26"/>
        <v/>
      </c>
      <c r="I661" s="8" t="str">
        <f t="shared" si="27"/>
        <v/>
      </c>
    </row>
    <row r="662" spans="8:9" x14ac:dyDescent="0.25">
      <c r="H662" s="8" t="str">
        <f t="shared" si="26"/>
        <v/>
      </c>
      <c r="I662" s="8" t="str">
        <f t="shared" si="27"/>
        <v/>
      </c>
    </row>
    <row r="663" spans="8:9" x14ac:dyDescent="0.25">
      <c r="H663" s="8" t="str">
        <f t="shared" si="26"/>
        <v/>
      </c>
      <c r="I663" s="8" t="str">
        <f t="shared" si="27"/>
        <v/>
      </c>
    </row>
    <row r="664" spans="8:9" x14ac:dyDescent="0.25">
      <c r="H664" s="8" t="str">
        <f t="shared" si="26"/>
        <v/>
      </c>
      <c r="I664" s="8" t="str">
        <f t="shared" si="27"/>
        <v/>
      </c>
    </row>
    <row r="665" spans="8:9" x14ac:dyDescent="0.25">
      <c r="H665" s="8" t="str">
        <f t="shared" si="26"/>
        <v/>
      </c>
      <c r="I665" s="8" t="str">
        <f t="shared" si="27"/>
        <v/>
      </c>
    </row>
    <row r="666" spans="8:9" x14ac:dyDescent="0.25">
      <c r="H666" s="8" t="str">
        <f t="shared" si="26"/>
        <v/>
      </c>
      <c r="I666" s="8" t="str">
        <f t="shared" si="27"/>
        <v/>
      </c>
    </row>
    <row r="667" spans="8:9" x14ac:dyDescent="0.25">
      <c r="H667" s="8" t="str">
        <f t="shared" si="26"/>
        <v/>
      </c>
      <c r="I667" s="8" t="str">
        <f t="shared" si="27"/>
        <v/>
      </c>
    </row>
    <row r="668" spans="8:9" x14ac:dyDescent="0.25">
      <c r="H668" s="8" t="str">
        <f t="shared" si="26"/>
        <v/>
      </c>
      <c r="I668" s="8" t="str">
        <f t="shared" si="27"/>
        <v/>
      </c>
    </row>
    <row r="669" spans="8:9" x14ac:dyDescent="0.25">
      <c r="H669" s="8" t="str">
        <f t="shared" si="26"/>
        <v/>
      </c>
      <c r="I669" s="8" t="str">
        <f t="shared" si="27"/>
        <v/>
      </c>
    </row>
    <row r="670" spans="8:9" x14ac:dyDescent="0.25">
      <c r="H670" s="8" t="str">
        <f t="shared" si="26"/>
        <v/>
      </c>
      <c r="I670" s="8" t="str">
        <f t="shared" si="27"/>
        <v/>
      </c>
    </row>
    <row r="671" spans="8:9" x14ac:dyDescent="0.25">
      <c r="H671" s="8" t="str">
        <f t="shared" si="26"/>
        <v/>
      </c>
      <c r="I671" s="8" t="str">
        <f t="shared" si="27"/>
        <v/>
      </c>
    </row>
    <row r="672" spans="8:9" x14ac:dyDescent="0.25">
      <c r="H672" s="8" t="str">
        <f t="shared" si="26"/>
        <v/>
      </c>
      <c r="I672" s="8" t="str">
        <f t="shared" si="27"/>
        <v/>
      </c>
    </row>
    <row r="673" spans="8:9" x14ac:dyDescent="0.25">
      <c r="H673" s="8" t="str">
        <f t="shared" si="26"/>
        <v/>
      </c>
      <c r="I673" s="8" t="str">
        <f t="shared" si="27"/>
        <v/>
      </c>
    </row>
    <row r="674" spans="8:9" x14ac:dyDescent="0.25">
      <c r="H674" s="8" t="str">
        <f t="shared" ref="H674:H737" si="28">IF(G674 = "n", "NA", "")</f>
        <v/>
      </c>
      <c r="I674" s="8" t="str">
        <f t="shared" si="27"/>
        <v/>
      </c>
    </row>
    <row r="675" spans="8:9" x14ac:dyDescent="0.25">
      <c r="H675" s="8" t="str">
        <f t="shared" si="28"/>
        <v/>
      </c>
      <c r="I675" s="8" t="str">
        <f t="shared" si="27"/>
        <v/>
      </c>
    </row>
    <row r="676" spans="8:9" x14ac:dyDescent="0.25">
      <c r="H676" s="8" t="str">
        <f t="shared" si="28"/>
        <v/>
      </c>
      <c r="I676" s="8" t="str">
        <f t="shared" si="27"/>
        <v/>
      </c>
    </row>
    <row r="677" spans="8:9" x14ac:dyDescent="0.25">
      <c r="H677" s="8" t="str">
        <f t="shared" si="28"/>
        <v/>
      </c>
      <c r="I677" s="8" t="str">
        <f t="shared" si="27"/>
        <v/>
      </c>
    </row>
    <row r="678" spans="8:9" x14ac:dyDescent="0.25">
      <c r="H678" s="8" t="str">
        <f t="shared" si="28"/>
        <v/>
      </c>
      <c r="I678" s="8" t="str">
        <f t="shared" si="27"/>
        <v/>
      </c>
    </row>
    <row r="679" spans="8:9" x14ac:dyDescent="0.25">
      <c r="H679" s="8" t="str">
        <f t="shared" si="28"/>
        <v/>
      </c>
      <c r="I679" s="8" t="str">
        <f t="shared" si="27"/>
        <v/>
      </c>
    </row>
    <row r="680" spans="8:9" x14ac:dyDescent="0.25">
      <c r="H680" s="8" t="str">
        <f t="shared" si="28"/>
        <v/>
      </c>
      <c r="I680" s="8" t="str">
        <f t="shared" si="27"/>
        <v/>
      </c>
    </row>
    <row r="681" spans="8:9" x14ac:dyDescent="0.25">
      <c r="H681" s="8" t="str">
        <f t="shared" si="28"/>
        <v/>
      </c>
      <c r="I681" s="8" t="str">
        <f t="shared" si="27"/>
        <v/>
      </c>
    </row>
    <row r="682" spans="8:9" x14ac:dyDescent="0.25">
      <c r="H682" s="8" t="str">
        <f t="shared" si="28"/>
        <v/>
      </c>
      <c r="I682" s="8" t="str">
        <f t="shared" si="27"/>
        <v/>
      </c>
    </row>
    <row r="683" spans="8:9" x14ac:dyDescent="0.25">
      <c r="H683" s="8" t="str">
        <f t="shared" si="28"/>
        <v/>
      </c>
      <c r="I683" s="8" t="str">
        <f t="shared" si="27"/>
        <v/>
      </c>
    </row>
    <row r="684" spans="8:9" x14ac:dyDescent="0.25">
      <c r="H684" s="8" t="str">
        <f t="shared" si="28"/>
        <v/>
      </c>
      <c r="I684" s="8" t="str">
        <f t="shared" si="27"/>
        <v/>
      </c>
    </row>
    <row r="685" spans="8:9" x14ac:dyDescent="0.25">
      <c r="H685" s="8" t="str">
        <f t="shared" si="28"/>
        <v/>
      </c>
      <c r="I685" s="8" t="str">
        <f t="shared" si="27"/>
        <v/>
      </c>
    </row>
    <row r="686" spans="8:9" x14ac:dyDescent="0.25">
      <c r="H686" s="8" t="str">
        <f t="shared" si="28"/>
        <v/>
      </c>
      <c r="I686" s="8" t="str">
        <f t="shared" si="27"/>
        <v/>
      </c>
    </row>
    <row r="687" spans="8:9" x14ac:dyDescent="0.25">
      <c r="H687" s="8" t="str">
        <f t="shared" si="28"/>
        <v/>
      </c>
      <c r="I687" s="8" t="str">
        <f t="shared" si="27"/>
        <v/>
      </c>
    </row>
    <row r="688" spans="8:9" x14ac:dyDescent="0.25">
      <c r="H688" s="8" t="str">
        <f t="shared" si="28"/>
        <v/>
      </c>
      <c r="I688" s="8" t="str">
        <f t="shared" si="27"/>
        <v/>
      </c>
    </row>
    <row r="689" spans="8:9" x14ac:dyDescent="0.25">
      <c r="H689" s="8" t="str">
        <f t="shared" si="28"/>
        <v/>
      </c>
      <c r="I689" s="8" t="str">
        <f t="shared" si="27"/>
        <v/>
      </c>
    </row>
    <row r="690" spans="8:9" x14ac:dyDescent="0.25">
      <c r="H690" s="8" t="str">
        <f t="shared" si="28"/>
        <v/>
      </c>
      <c r="I690" s="8" t="str">
        <f t="shared" si="27"/>
        <v/>
      </c>
    </row>
    <row r="691" spans="8:9" x14ac:dyDescent="0.25">
      <c r="H691" s="8" t="str">
        <f t="shared" si="28"/>
        <v/>
      </c>
      <c r="I691" s="8" t="str">
        <f t="shared" si="27"/>
        <v/>
      </c>
    </row>
    <row r="692" spans="8:9" x14ac:dyDescent="0.25">
      <c r="H692" s="8" t="str">
        <f t="shared" si="28"/>
        <v/>
      </c>
      <c r="I692" s="8" t="str">
        <f t="shared" si="27"/>
        <v/>
      </c>
    </row>
    <row r="693" spans="8:9" x14ac:dyDescent="0.25">
      <c r="H693" s="8" t="str">
        <f t="shared" si="28"/>
        <v/>
      </c>
      <c r="I693" s="8" t="str">
        <f t="shared" si="27"/>
        <v/>
      </c>
    </row>
    <row r="694" spans="8:9" x14ac:dyDescent="0.25">
      <c r="H694" s="8" t="str">
        <f t="shared" si="28"/>
        <v/>
      </c>
      <c r="I694" s="8" t="str">
        <f t="shared" si="27"/>
        <v/>
      </c>
    </row>
    <row r="695" spans="8:9" x14ac:dyDescent="0.25">
      <c r="H695" s="8" t="str">
        <f t="shared" si="28"/>
        <v/>
      </c>
      <c r="I695" s="8" t="str">
        <f t="shared" si="27"/>
        <v/>
      </c>
    </row>
    <row r="696" spans="8:9" x14ac:dyDescent="0.25">
      <c r="H696" s="8" t="str">
        <f t="shared" si="28"/>
        <v/>
      </c>
      <c r="I696" s="8" t="str">
        <f t="shared" si="27"/>
        <v/>
      </c>
    </row>
    <row r="697" spans="8:9" x14ac:dyDescent="0.25">
      <c r="H697" s="8" t="str">
        <f t="shared" si="28"/>
        <v/>
      </c>
      <c r="I697" s="8" t="str">
        <f t="shared" si="27"/>
        <v/>
      </c>
    </row>
    <row r="698" spans="8:9" x14ac:dyDescent="0.25">
      <c r="H698" s="8" t="str">
        <f t="shared" si="28"/>
        <v/>
      </c>
      <c r="I698" s="8" t="str">
        <f t="shared" si="27"/>
        <v/>
      </c>
    </row>
    <row r="699" spans="8:9" x14ac:dyDescent="0.25">
      <c r="H699" s="8" t="str">
        <f t="shared" si="28"/>
        <v/>
      </c>
      <c r="I699" s="8" t="str">
        <f t="shared" si="27"/>
        <v/>
      </c>
    </row>
    <row r="700" spans="8:9" x14ac:dyDescent="0.25">
      <c r="H700" s="8" t="str">
        <f t="shared" si="28"/>
        <v/>
      </c>
      <c r="I700" s="8" t="str">
        <f t="shared" si="27"/>
        <v/>
      </c>
    </row>
    <row r="701" spans="8:9" x14ac:dyDescent="0.25">
      <c r="H701" s="8" t="str">
        <f t="shared" si="28"/>
        <v/>
      </c>
      <c r="I701" s="8" t="str">
        <f t="shared" si="27"/>
        <v/>
      </c>
    </row>
    <row r="702" spans="8:9" x14ac:dyDescent="0.25">
      <c r="H702" s="8" t="str">
        <f t="shared" si="28"/>
        <v/>
      </c>
      <c r="I702" s="8" t="str">
        <f t="shared" si="27"/>
        <v/>
      </c>
    </row>
    <row r="703" spans="8:9" x14ac:dyDescent="0.25">
      <c r="H703" s="8" t="str">
        <f t="shared" si="28"/>
        <v/>
      </c>
      <c r="I703" s="8" t="str">
        <f t="shared" si="27"/>
        <v/>
      </c>
    </row>
    <row r="704" spans="8:9" x14ac:dyDescent="0.25">
      <c r="H704" s="8" t="str">
        <f t="shared" si="28"/>
        <v/>
      </c>
      <c r="I704" s="8" t="str">
        <f t="shared" si="27"/>
        <v/>
      </c>
    </row>
    <row r="705" spans="8:9" x14ac:dyDescent="0.25">
      <c r="H705" s="8" t="str">
        <f t="shared" si="28"/>
        <v/>
      </c>
      <c r="I705" s="8" t="str">
        <f t="shared" si="27"/>
        <v/>
      </c>
    </row>
    <row r="706" spans="8:9" x14ac:dyDescent="0.25">
      <c r="H706" s="8" t="str">
        <f t="shared" si="28"/>
        <v/>
      </c>
      <c r="I706" s="8" t="str">
        <f t="shared" si="27"/>
        <v/>
      </c>
    </row>
    <row r="707" spans="8:9" x14ac:dyDescent="0.25">
      <c r="H707" s="8" t="str">
        <f t="shared" si="28"/>
        <v/>
      </c>
      <c r="I707" s="8" t="str">
        <f t="shared" si="27"/>
        <v/>
      </c>
    </row>
    <row r="708" spans="8:9" x14ac:dyDescent="0.25">
      <c r="H708" s="8" t="str">
        <f t="shared" si="28"/>
        <v/>
      </c>
      <c r="I708" s="8" t="str">
        <f t="shared" si="27"/>
        <v/>
      </c>
    </row>
    <row r="709" spans="8:9" x14ac:dyDescent="0.25">
      <c r="H709" s="8" t="str">
        <f t="shared" si="28"/>
        <v/>
      </c>
      <c r="I709" s="8" t="str">
        <f t="shared" si="27"/>
        <v/>
      </c>
    </row>
    <row r="710" spans="8:9" x14ac:dyDescent="0.25">
      <c r="H710" s="8" t="str">
        <f t="shared" si="28"/>
        <v/>
      </c>
      <c r="I710" s="8" t="str">
        <f t="shared" si="27"/>
        <v/>
      </c>
    </row>
    <row r="711" spans="8:9" x14ac:dyDescent="0.25">
      <c r="H711" s="8" t="str">
        <f t="shared" si="28"/>
        <v/>
      </c>
      <c r="I711" s="8" t="str">
        <f t="shared" si="27"/>
        <v/>
      </c>
    </row>
    <row r="712" spans="8:9" x14ac:dyDescent="0.25">
      <c r="H712" s="8" t="str">
        <f t="shared" si="28"/>
        <v/>
      </c>
      <c r="I712" s="8" t="str">
        <f t="shared" si="27"/>
        <v/>
      </c>
    </row>
    <row r="713" spans="8:9" x14ac:dyDescent="0.25">
      <c r="H713" s="8" t="str">
        <f t="shared" si="28"/>
        <v/>
      </c>
      <c r="I713" s="8" t="str">
        <f t="shared" si="27"/>
        <v/>
      </c>
    </row>
    <row r="714" spans="8:9" x14ac:dyDescent="0.25">
      <c r="H714" s="8" t="str">
        <f t="shared" si="28"/>
        <v/>
      </c>
      <c r="I714" s="8" t="str">
        <f t="shared" si="27"/>
        <v/>
      </c>
    </row>
    <row r="715" spans="8:9" x14ac:dyDescent="0.25">
      <c r="H715" s="8" t="str">
        <f t="shared" si="28"/>
        <v/>
      </c>
      <c r="I715" s="8" t="str">
        <f t="shared" si="27"/>
        <v/>
      </c>
    </row>
    <row r="716" spans="8:9" x14ac:dyDescent="0.25">
      <c r="H716" s="8" t="str">
        <f t="shared" si="28"/>
        <v/>
      </c>
      <c r="I716" s="8" t="str">
        <f t="shared" si="27"/>
        <v/>
      </c>
    </row>
    <row r="717" spans="8:9" x14ac:dyDescent="0.25">
      <c r="H717" s="8" t="str">
        <f t="shared" si="28"/>
        <v/>
      </c>
      <c r="I717" s="8" t="str">
        <f t="shared" si="27"/>
        <v/>
      </c>
    </row>
    <row r="718" spans="8:9" x14ac:dyDescent="0.25">
      <c r="H718" s="8" t="str">
        <f t="shared" si="28"/>
        <v/>
      </c>
      <c r="I718" s="8" t="str">
        <f t="shared" ref="I718:I781" si="29">IF(H718 = "y", "NA", "")</f>
        <v/>
      </c>
    </row>
    <row r="719" spans="8:9" x14ac:dyDescent="0.25">
      <c r="H719" s="8" t="str">
        <f t="shared" si="28"/>
        <v/>
      </c>
      <c r="I719" s="8" t="str">
        <f t="shared" si="29"/>
        <v/>
      </c>
    </row>
    <row r="720" spans="8:9" x14ac:dyDescent="0.25">
      <c r="H720" s="8" t="str">
        <f t="shared" si="28"/>
        <v/>
      </c>
      <c r="I720" s="8" t="str">
        <f t="shared" si="29"/>
        <v/>
      </c>
    </row>
    <row r="721" spans="8:9" x14ac:dyDescent="0.25">
      <c r="H721" s="8" t="str">
        <f t="shared" si="28"/>
        <v/>
      </c>
      <c r="I721" s="8" t="str">
        <f t="shared" si="29"/>
        <v/>
      </c>
    </row>
    <row r="722" spans="8:9" x14ac:dyDescent="0.25">
      <c r="H722" s="8" t="str">
        <f t="shared" si="28"/>
        <v/>
      </c>
      <c r="I722" s="8" t="str">
        <f t="shared" si="29"/>
        <v/>
      </c>
    </row>
    <row r="723" spans="8:9" x14ac:dyDescent="0.25">
      <c r="H723" s="8" t="str">
        <f t="shared" si="28"/>
        <v/>
      </c>
      <c r="I723" s="8" t="str">
        <f t="shared" si="29"/>
        <v/>
      </c>
    </row>
    <row r="724" spans="8:9" x14ac:dyDescent="0.25">
      <c r="H724" s="8" t="str">
        <f t="shared" si="28"/>
        <v/>
      </c>
      <c r="I724" s="8" t="str">
        <f t="shared" si="29"/>
        <v/>
      </c>
    </row>
    <row r="725" spans="8:9" x14ac:dyDescent="0.25">
      <c r="H725" s="8" t="str">
        <f t="shared" si="28"/>
        <v/>
      </c>
      <c r="I725" s="8" t="str">
        <f t="shared" si="29"/>
        <v/>
      </c>
    </row>
    <row r="726" spans="8:9" x14ac:dyDescent="0.25">
      <c r="H726" s="8" t="str">
        <f t="shared" si="28"/>
        <v/>
      </c>
      <c r="I726" s="8" t="str">
        <f t="shared" si="29"/>
        <v/>
      </c>
    </row>
    <row r="727" spans="8:9" x14ac:dyDescent="0.25">
      <c r="H727" s="8" t="str">
        <f t="shared" si="28"/>
        <v/>
      </c>
      <c r="I727" s="8" t="str">
        <f t="shared" si="29"/>
        <v/>
      </c>
    </row>
    <row r="728" spans="8:9" x14ac:dyDescent="0.25">
      <c r="H728" s="8" t="str">
        <f t="shared" si="28"/>
        <v/>
      </c>
      <c r="I728" s="8" t="str">
        <f t="shared" si="29"/>
        <v/>
      </c>
    </row>
    <row r="729" spans="8:9" x14ac:dyDescent="0.25">
      <c r="H729" s="8" t="str">
        <f t="shared" si="28"/>
        <v/>
      </c>
      <c r="I729" s="8" t="str">
        <f t="shared" si="29"/>
        <v/>
      </c>
    </row>
    <row r="730" spans="8:9" x14ac:dyDescent="0.25">
      <c r="H730" s="8" t="str">
        <f t="shared" si="28"/>
        <v/>
      </c>
      <c r="I730" s="8" t="str">
        <f t="shared" si="29"/>
        <v/>
      </c>
    </row>
    <row r="731" spans="8:9" x14ac:dyDescent="0.25">
      <c r="H731" s="8" t="str">
        <f t="shared" si="28"/>
        <v/>
      </c>
      <c r="I731" s="8" t="str">
        <f t="shared" si="29"/>
        <v/>
      </c>
    </row>
    <row r="732" spans="8:9" x14ac:dyDescent="0.25">
      <c r="H732" s="8" t="str">
        <f t="shared" si="28"/>
        <v/>
      </c>
      <c r="I732" s="8" t="str">
        <f t="shared" si="29"/>
        <v/>
      </c>
    </row>
    <row r="733" spans="8:9" x14ac:dyDescent="0.25">
      <c r="H733" s="8" t="str">
        <f t="shared" si="28"/>
        <v/>
      </c>
      <c r="I733" s="8" t="str">
        <f t="shared" si="29"/>
        <v/>
      </c>
    </row>
    <row r="734" spans="8:9" x14ac:dyDescent="0.25">
      <c r="H734" s="8" t="str">
        <f t="shared" si="28"/>
        <v/>
      </c>
      <c r="I734" s="8" t="str">
        <f t="shared" si="29"/>
        <v/>
      </c>
    </row>
    <row r="735" spans="8:9" x14ac:dyDescent="0.25">
      <c r="H735" s="8" t="str">
        <f t="shared" si="28"/>
        <v/>
      </c>
      <c r="I735" s="8" t="str">
        <f t="shared" si="29"/>
        <v/>
      </c>
    </row>
    <row r="736" spans="8:9" x14ac:dyDescent="0.25">
      <c r="H736" s="8" t="str">
        <f t="shared" si="28"/>
        <v/>
      </c>
      <c r="I736" s="8" t="str">
        <f t="shared" si="29"/>
        <v/>
      </c>
    </row>
    <row r="737" spans="8:9" x14ac:dyDescent="0.25">
      <c r="H737" s="8" t="str">
        <f t="shared" si="28"/>
        <v/>
      </c>
      <c r="I737" s="8" t="str">
        <f t="shared" si="29"/>
        <v/>
      </c>
    </row>
    <row r="738" spans="8:9" x14ac:dyDescent="0.25">
      <c r="H738" s="8" t="str">
        <f t="shared" ref="H738:H790" si="30">IF(G738 = "n", "NA", "")</f>
        <v/>
      </c>
      <c r="I738" s="8" t="str">
        <f t="shared" si="29"/>
        <v/>
      </c>
    </row>
    <row r="739" spans="8:9" x14ac:dyDescent="0.25">
      <c r="H739" s="8" t="str">
        <f t="shared" si="30"/>
        <v/>
      </c>
      <c r="I739" s="8" t="str">
        <f t="shared" si="29"/>
        <v/>
      </c>
    </row>
    <row r="740" spans="8:9" x14ac:dyDescent="0.25">
      <c r="H740" s="8" t="str">
        <f t="shared" si="30"/>
        <v/>
      </c>
      <c r="I740" s="8" t="str">
        <f t="shared" si="29"/>
        <v/>
      </c>
    </row>
    <row r="741" spans="8:9" x14ac:dyDescent="0.25">
      <c r="H741" s="8" t="str">
        <f t="shared" si="30"/>
        <v/>
      </c>
      <c r="I741" s="8" t="str">
        <f t="shared" si="29"/>
        <v/>
      </c>
    </row>
    <row r="742" spans="8:9" x14ac:dyDescent="0.25">
      <c r="H742" s="8" t="str">
        <f t="shared" si="30"/>
        <v/>
      </c>
      <c r="I742" s="8" t="str">
        <f t="shared" si="29"/>
        <v/>
      </c>
    </row>
    <row r="743" spans="8:9" x14ac:dyDescent="0.25">
      <c r="H743" s="8" t="str">
        <f t="shared" si="30"/>
        <v/>
      </c>
      <c r="I743" s="8" t="str">
        <f t="shared" si="29"/>
        <v/>
      </c>
    </row>
    <row r="744" spans="8:9" x14ac:dyDescent="0.25">
      <c r="H744" s="8" t="str">
        <f t="shared" si="30"/>
        <v/>
      </c>
      <c r="I744" s="8" t="str">
        <f t="shared" si="29"/>
        <v/>
      </c>
    </row>
    <row r="745" spans="8:9" x14ac:dyDescent="0.25">
      <c r="H745" s="8" t="str">
        <f t="shared" si="30"/>
        <v/>
      </c>
      <c r="I745" s="8" t="str">
        <f t="shared" si="29"/>
        <v/>
      </c>
    </row>
    <row r="746" spans="8:9" x14ac:dyDescent="0.25">
      <c r="H746" s="8" t="str">
        <f t="shared" si="30"/>
        <v/>
      </c>
      <c r="I746" s="8" t="str">
        <f t="shared" si="29"/>
        <v/>
      </c>
    </row>
    <row r="747" spans="8:9" x14ac:dyDescent="0.25">
      <c r="H747" s="8" t="str">
        <f t="shared" si="30"/>
        <v/>
      </c>
      <c r="I747" s="8" t="str">
        <f t="shared" si="29"/>
        <v/>
      </c>
    </row>
    <row r="748" spans="8:9" x14ac:dyDescent="0.25">
      <c r="H748" s="8" t="str">
        <f t="shared" si="30"/>
        <v/>
      </c>
      <c r="I748" s="8" t="str">
        <f t="shared" si="29"/>
        <v/>
      </c>
    </row>
    <row r="749" spans="8:9" x14ac:dyDescent="0.25">
      <c r="H749" s="8" t="str">
        <f t="shared" si="30"/>
        <v/>
      </c>
      <c r="I749" s="8" t="str">
        <f t="shared" si="29"/>
        <v/>
      </c>
    </row>
    <row r="750" spans="8:9" x14ac:dyDescent="0.25">
      <c r="H750" s="8" t="str">
        <f t="shared" si="30"/>
        <v/>
      </c>
      <c r="I750" s="8" t="str">
        <f t="shared" si="29"/>
        <v/>
      </c>
    </row>
    <row r="751" spans="8:9" x14ac:dyDescent="0.25">
      <c r="H751" s="8" t="str">
        <f t="shared" si="30"/>
        <v/>
      </c>
      <c r="I751" s="8" t="str">
        <f t="shared" si="29"/>
        <v/>
      </c>
    </row>
    <row r="752" spans="8:9" x14ac:dyDescent="0.25">
      <c r="H752" s="8" t="str">
        <f t="shared" si="30"/>
        <v/>
      </c>
      <c r="I752" s="8" t="str">
        <f t="shared" si="29"/>
        <v/>
      </c>
    </row>
    <row r="753" spans="8:9" x14ac:dyDescent="0.25">
      <c r="H753" s="8" t="str">
        <f t="shared" si="30"/>
        <v/>
      </c>
      <c r="I753" s="8" t="str">
        <f t="shared" si="29"/>
        <v/>
      </c>
    </row>
    <row r="754" spans="8:9" x14ac:dyDescent="0.25">
      <c r="H754" s="8" t="str">
        <f t="shared" si="30"/>
        <v/>
      </c>
      <c r="I754" s="8" t="str">
        <f t="shared" si="29"/>
        <v/>
      </c>
    </row>
    <row r="755" spans="8:9" x14ac:dyDescent="0.25">
      <c r="H755" s="8" t="str">
        <f t="shared" si="30"/>
        <v/>
      </c>
      <c r="I755" s="8" t="str">
        <f t="shared" si="29"/>
        <v/>
      </c>
    </row>
    <row r="756" spans="8:9" x14ac:dyDescent="0.25">
      <c r="H756" s="8" t="str">
        <f t="shared" si="30"/>
        <v/>
      </c>
      <c r="I756" s="8" t="str">
        <f t="shared" si="29"/>
        <v/>
      </c>
    </row>
    <row r="757" spans="8:9" x14ac:dyDescent="0.25">
      <c r="H757" s="8" t="str">
        <f t="shared" si="30"/>
        <v/>
      </c>
      <c r="I757" s="8" t="str">
        <f t="shared" si="29"/>
        <v/>
      </c>
    </row>
    <row r="758" spans="8:9" x14ac:dyDescent="0.25">
      <c r="H758" s="8" t="str">
        <f t="shared" si="30"/>
        <v/>
      </c>
      <c r="I758" s="8" t="str">
        <f t="shared" si="29"/>
        <v/>
      </c>
    </row>
    <row r="759" spans="8:9" x14ac:dyDescent="0.25">
      <c r="H759" s="8" t="str">
        <f t="shared" si="30"/>
        <v/>
      </c>
      <c r="I759" s="8" t="str">
        <f t="shared" si="29"/>
        <v/>
      </c>
    </row>
    <row r="760" spans="8:9" x14ac:dyDescent="0.25">
      <c r="H760" s="8" t="str">
        <f t="shared" si="30"/>
        <v/>
      </c>
      <c r="I760" s="8" t="str">
        <f t="shared" si="29"/>
        <v/>
      </c>
    </row>
    <row r="761" spans="8:9" x14ac:dyDescent="0.25">
      <c r="H761" s="8" t="str">
        <f t="shared" si="30"/>
        <v/>
      </c>
      <c r="I761" s="8" t="str">
        <f t="shared" si="29"/>
        <v/>
      </c>
    </row>
    <row r="762" spans="8:9" x14ac:dyDescent="0.25">
      <c r="H762" s="8" t="str">
        <f t="shared" si="30"/>
        <v/>
      </c>
      <c r="I762" s="8" t="str">
        <f t="shared" si="29"/>
        <v/>
      </c>
    </row>
    <row r="763" spans="8:9" x14ac:dyDescent="0.25">
      <c r="H763" s="8" t="str">
        <f t="shared" si="30"/>
        <v/>
      </c>
      <c r="I763" s="8" t="str">
        <f t="shared" si="29"/>
        <v/>
      </c>
    </row>
    <row r="764" spans="8:9" x14ac:dyDescent="0.25">
      <c r="H764" s="8" t="str">
        <f t="shared" si="30"/>
        <v/>
      </c>
      <c r="I764" s="8" t="str">
        <f t="shared" si="29"/>
        <v/>
      </c>
    </row>
    <row r="765" spans="8:9" x14ac:dyDescent="0.25">
      <c r="H765" s="8" t="str">
        <f t="shared" si="30"/>
        <v/>
      </c>
      <c r="I765" s="8" t="str">
        <f t="shared" si="29"/>
        <v/>
      </c>
    </row>
    <row r="766" spans="8:9" x14ac:dyDescent="0.25">
      <c r="H766" s="8" t="str">
        <f t="shared" si="30"/>
        <v/>
      </c>
      <c r="I766" s="8" t="str">
        <f t="shared" si="29"/>
        <v/>
      </c>
    </row>
    <row r="767" spans="8:9" x14ac:dyDescent="0.25">
      <c r="H767" s="8" t="str">
        <f t="shared" si="30"/>
        <v/>
      </c>
      <c r="I767" s="8" t="str">
        <f t="shared" si="29"/>
        <v/>
      </c>
    </row>
    <row r="768" spans="8:9" x14ac:dyDescent="0.25">
      <c r="H768" s="8" t="str">
        <f t="shared" si="30"/>
        <v/>
      </c>
      <c r="I768" s="8" t="str">
        <f t="shared" si="29"/>
        <v/>
      </c>
    </row>
    <row r="769" spans="8:9" x14ac:dyDescent="0.25">
      <c r="H769" s="8" t="str">
        <f t="shared" si="30"/>
        <v/>
      </c>
      <c r="I769" s="8" t="str">
        <f t="shared" si="29"/>
        <v/>
      </c>
    </row>
    <row r="770" spans="8:9" x14ac:dyDescent="0.25">
      <c r="H770" s="8" t="str">
        <f t="shared" si="30"/>
        <v/>
      </c>
      <c r="I770" s="8" t="str">
        <f t="shared" si="29"/>
        <v/>
      </c>
    </row>
    <row r="771" spans="8:9" x14ac:dyDescent="0.25">
      <c r="H771" s="8" t="str">
        <f t="shared" si="30"/>
        <v/>
      </c>
      <c r="I771" s="8" t="str">
        <f t="shared" si="29"/>
        <v/>
      </c>
    </row>
    <row r="772" spans="8:9" x14ac:dyDescent="0.25">
      <c r="H772" s="8" t="str">
        <f t="shared" si="30"/>
        <v/>
      </c>
      <c r="I772" s="8" t="str">
        <f t="shared" si="29"/>
        <v/>
      </c>
    </row>
    <row r="773" spans="8:9" x14ac:dyDescent="0.25">
      <c r="H773" s="8" t="str">
        <f t="shared" si="30"/>
        <v/>
      </c>
      <c r="I773" s="8" t="str">
        <f t="shared" si="29"/>
        <v/>
      </c>
    </row>
    <row r="774" spans="8:9" x14ac:dyDescent="0.25">
      <c r="H774" s="8" t="str">
        <f t="shared" si="30"/>
        <v/>
      </c>
      <c r="I774" s="8" t="str">
        <f t="shared" si="29"/>
        <v/>
      </c>
    </row>
    <row r="775" spans="8:9" x14ac:dyDescent="0.25">
      <c r="H775" s="8" t="str">
        <f t="shared" si="30"/>
        <v/>
      </c>
      <c r="I775" s="8" t="str">
        <f t="shared" si="29"/>
        <v/>
      </c>
    </row>
    <row r="776" spans="8:9" x14ac:dyDescent="0.25">
      <c r="H776" s="8" t="str">
        <f t="shared" si="30"/>
        <v/>
      </c>
      <c r="I776" s="8" t="str">
        <f t="shared" si="29"/>
        <v/>
      </c>
    </row>
    <row r="777" spans="8:9" x14ac:dyDescent="0.25">
      <c r="H777" s="8" t="str">
        <f t="shared" si="30"/>
        <v/>
      </c>
      <c r="I777" s="8" t="str">
        <f t="shared" si="29"/>
        <v/>
      </c>
    </row>
    <row r="778" spans="8:9" x14ac:dyDescent="0.25">
      <c r="H778" s="8" t="str">
        <f t="shared" si="30"/>
        <v/>
      </c>
      <c r="I778" s="8" t="str">
        <f t="shared" si="29"/>
        <v/>
      </c>
    </row>
    <row r="779" spans="8:9" x14ac:dyDescent="0.25">
      <c r="H779" s="8" t="str">
        <f t="shared" si="30"/>
        <v/>
      </c>
      <c r="I779" s="8" t="str">
        <f t="shared" si="29"/>
        <v/>
      </c>
    </row>
    <row r="780" spans="8:9" x14ac:dyDescent="0.25">
      <c r="H780" s="8" t="str">
        <f t="shared" si="30"/>
        <v/>
      </c>
      <c r="I780" s="8" t="str">
        <f t="shared" si="29"/>
        <v/>
      </c>
    </row>
    <row r="781" spans="8:9" x14ac:dyDescent="0.25">
      <c r="H781" s="8" t="str">
        <f t="shared" si="30"/>
        <v/>
      </c>
      <c r="I781" s="8" t="str">
        <f t="shared" si="29"/>
        <v/>
      </c>
    </row>
    <row r="782" spans="8:9" x14ac:dyDescent="0.25">
      <c r="H782" s="8" t="str">
        <f t="shared" si="30"/>
        <v/>
      </c>
      <c r="I782" s="8" t="str">
        <f t="shared" ref="I782:I797" si="31">IF(H782 = "y", "NA", "")</f>
        <v/>
      </c>
    </row>
    <row r="783" spans="8:9" x14ac:dyDescent="0.25">
      <c r="H783" s="8" t="str">
        <f t="shared" si="30"/>
        <v/>
      </c>
      <c r="I783" s="8" t="str">
        <f t="shared" si="31"/>
        <v/>
      </c>
    </row>
    <row r="784" spans="8:9" x14ac:dyDescent="0.25">
      <c r="H784" s="8" t="str">
        <f t="shared" si="30"/>
        <v/>
      </c>
      <c r="I784" s="8" t="str">
        <f t="shared" si="31"/>
        <v/>
      </c>
    </row>
    <row r="785" spans="8:9" x14ac:dyDescent="0.25">
      <c r="H785" s="8" t="str">
        <f t="shared" si="30"/>
        <v/>
      </c>
      <c r="I785" s="8" t="str">
        <f t="shared" si="31"/>
        <v/>
      </c>
    </row>
    <row r="786" spans="8:9" x14ac:dyDescent="0.25">
      <c r="H786" s="8" t="str">
        <f t="shared" si="30"/>
        <v/>
      </c>
      <c r="I786" s="8" t="str">
        <f t="shared" si="31"/>
        <v/>
      </c>
    </row>
    <row r="787" spans="8:9" x14ac:dyDescent="0.25">
      <c r="H787" s="8" t="str">
        <f t="shared" si="30"/>
        <v/>
      </c>
      <c r="I787" s="8" t="str">
        <f t="shared" si="31"/>
        <v/>
      </c>
    </row>
    <row r="788" spans="8:9" x14ac:dyDescent="0.25">
      <c r="H788" s="8" t="str">
        <f t="shared" si="30"/>
        <v/>
      </c>
      <c r="I788" s="8" t="str">
        <f t="shared" si="31"/>
        <v/>
      </c>
    </row>
    <row r="789" spans="8:9" x14ac:dyDescent="0.25">
      <c r="H789" s="8" t="str">
        <f t="shared" si="30"/>
        <v/>
      </c>
      <c r="I789" s="8" t="str">
        <f t="shared" si="31"/>
        <v/>
      </c>
    </row>
    <row r="790" spans="8:9" x14ac:dyDescent="0.25">
      <c r="H790" s="8" t="str">
        <f t="shared" si="30"/>
        <v/>
      </c>
      <c r="I790" s="8" t="str">
        <f t="shared" si="31"/>
        <v/>
      </c>
    </row>
    <row r="791" spans="8:9" x14ac:dyDescent="0.25">
      <c r="I791" s="8" t="str">
        <f t="shared" si="31"/>
        <v/>
      </c>
    </row>
    <row r="792" spans="8:9" x14ac:dyDescent="0.25">
      <c r="I792" s="8" t="str">
        <f t="shared" si="31"/>
        <v/>
      </c>
    </row>
    <row r="793" spans="8:9" x14ac:dyDescent="0.25">
      <c r="I793" s="8" t="str">
        <f t="shared" si="31"/>
        <v/>
      </c>
    </row>
    <row r="794" spans="8:9" x14ac:dyDescent="0.25">
      <c r="I794" s="8" t="str">
        <f t="shared" si="31"/>
        <v/>
      </c>
    </row>
    <row r="795" spans="8:9" x14ac:dyDescent="0.25">
      <c r="I795" s="8" t="str">
        <f t="shared" si="31"/>
        <v/>
      </c>
    </row>
    <row r="796" spans="8:9" x14ac:dyDescent="0.25">
      <c r="I796" s="8" t="str">
        <f t="shared" si="31"/>
        <v/>
      </c>
    </row>
    <row r="797" spans="8:9" x14ac:dyDescent="0.25">
      <c r="I797" s="8" t="str">
        <f t="shared" si="31"/>
        <v/>
      </c>
    </row>
    <row r="1048573" spans="2:2" x14ac:dyDescent="0.25">
      <c r="B1048573" s="5"/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Janice Yan</dc:creator>
  <cp:lastModifiedBy>Janice Yan</cp:lastModifiedBy>
  <dcterms:created xsi:type="dcterms:W3CDTF">2022-01-01T18:18:15Z</dcterms:created>
  <dcterms:modified xsi:type="dcterms:W3CDTF">2023-01-22T22:16:55Z</dcterms:modified>
</cp:coreProperties>
</file>