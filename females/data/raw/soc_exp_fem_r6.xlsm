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females\data\raw\"/>
    </mc:Choice>
  </mc:AlternateContent>
  <xr:revisionPtr revIDLastSave="0" documentId="13_ncr:1_{AD2A65C9-BA48-439C-A3A4-33F87F4E564F}" xr6:coauthVersionLast="47" xr6:coauthVersionMax="47" xr10:uidLastSave="{00000000-0000-0000-0000-000000000000}"/>
  <bookViews>
    <workbookView xWindow="-120" yWindow="-120" windowWidth="29040" windowHeight="15720" xr2:uid="{D79A3F70-BFC8-4B9F-88DD-F2FD3547E41D}"/>
  </bookViews>
  <sheets>
    <sheet name="rep_6" sheetId="1" r:id="rId1"/>
  </sheets>
  <definedNames>
    <definedName name="_xlnm._FilterDatabase" localSheetId="0" hidden="1">rep_6!$B$1:$J$1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0" i="1" l="1"/>
  <c r="G3" i="1"/>
  <c r="H200" i="1" l="1"/>
  <c r="I3" i="1"/>
  <c r="H4" i="1"/>
  <c r="I4" i="1" s="1"/>
  <c r="G5" i="1"/>
  <c r="I5" i="1" s="1"/>
  <c r="H6" i="1"/>
  <c r="I6" i="1" s="1"/>
  <c r="G7" i="1"/>
  <c r="I7" i="1" s="1"/>
  <c r="G8" i="1"/>
  <c r="I8" i="1" s="1"/>
  <c r="G9" i="1"/>
  <c r="I9" i="1" s="1"/>
  <c r="I10" i="1"/>
  <c r="G11" i="1"/>
  <c r="I11" i="1" s="1"/>
  <c r="H12" i="1"/>
  <c r="I12" i="1" s="1"/>
  <c r="H13" i="1"/>
  <c r="I13" i="1" s="1"/>
  <c r="H14" i="1"/>
  <c r="I14" i="1" s="1"/>
  <c r="I15" i="1"/>
  <c r="G16" i="1"/>
  <c r="I16" i="1" s="1"/>
  <c r="H17" i="1"/>
  <c r="I17" i="1" s="1"/>
  <c r="G18" i="1"/>
  <c r="I18" i="1" s="1"/>
  <c r="G19" i="1"/>
  <c r="I19" i="1" s="1"/>
  <c r="G20" i="1"/>
  <c r="I20" i="1" s="1"/>
  <c r="G21" i="1"/>
  <c r="I21" i="1" s="1"/>
  <c r="G22" i="1"/>
  <c r="I22" i="1" s="1"/>
  <c r="G23" i="1"/>
  <c r="I23" i="1" s="1"/>
  <c r="I24" i="1"/>
  <c r="I25" i="1"/>
  <c r="G26" i="1"/>
  <c r="I26" i="1" s="1"/>
  <c r="G27" i="1"/>
  <c r="I27" i="1" s="1"/>
  <c r="G28" i="1"/>
  <c r="I28" i="1" s="1"/>
  <c r="G29" i="1"/>
  <c r="I29" i="1" s="1"/>
  <c r="I30" i="1"/>
  <c r="G31" i="1"/>
  <c r="I31" i="1" s="1"/>
  <c r="I32" i="1"/>
  <c r="G33" i="1"/>
  <c r="I33" i="1" s="1"/>
  <c r="I34" i="1"/>
  <c r="I35" i="1"/>
  <c r="I36" i="1"/>
  <c r="G37" i="1"/>
  <c r="I37" i="1" s="1"/>
  <c r="G38" i="1"/>
  <c r="I38" i="1" s="1"/>
  <c r="H39" i="1"/>
  <c r="I39" i="1" s="1"/>
  <c r="H40" i="1"/>
  <c r="I40" i="1" s="1"/>
  <c r="G41" i="1"/>
  <c r="I41" i="1" s="1"/>
  <c r="H42" i="1"/>
  <c r="I42" i="1" s="1"/>
  <c r="I43" i="1"/>
  <c r="G44" i="1"/>
  <c r="I44" i="1" s="1"/>
  <c r="G45" i="1"/>
  <c r="I45" i="1" s="1"/>
  <c r="H46" i="1"/>
  <c r="I46" i="1" s="1"/>
  <c r="H47" i="1"/>
  <c r="I47" i="1" s="1"/>
  <c r="I48" i="1"/>
  <c r="H49" i="1"/>
  <c r="I49" i="1" s="1"/>
  <c r="G50" i="1"/>
  <c r="I50" i="1" s="1"/>
  <c r="G51" i="1"/>
  <c r="I51" i="1" s="1"/>
  <c r="G52" i="1"/>
  <c r="I52" i="1" s="1"/>
  <c r="H53" i="1"/>
  <c r="I53" i="1" s="1"/>
  <c r="I54" i="1"/>
  <c r="G55" i="1"/>
  <c r="I55" i="1" s="1"/>
  <c r="I56" i="1"/>
  <c r="G57" i="1"/>
  <c r="I57" i="1" s="1"/>
  <c r="H58" i="1"/>
  <c r="I58" i="1" s="1"/>
  <c r="H59" i="1"/>
  <c r="I59" i="1" s="1"/>
  <c r="I60" i="1"/>
  <c r="H61" i="1"/>
  <c r="I61" i="1" s="1"/>
  <c r="G62" i="1"/>
  <c r="I62" i="1" s="1"/>
  <c r="H63" i="1"/>
  <c r="I63" i="1" s="1"/>
  <c r="I64" i="1"/>
  <c r="G65" i="1"/>
  <c r="I65" i="1" s="1"/>
  <c r="G66" i="1"/>
  <c r="I66" i="1" s="1"/>
  <c r="G67" i="1"/>
  <c r="I67" i="1" s="1"/>
  <c r="G68" i="1"/>
  <c r="I68" i="1" s="1"/>
  <c r="H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H75" i="1"/>
  <c r="I75" i="1" s="1"/>
  <c r="I76" i="1"/>
  <c r="H77" i="1"/>
  <c r="I77" i="1" s="1"/>
  <c r="G78" i="1"/>
  <c r="I78" i="1" s="1"/>
  <c r="G79" i="1"/>
  <c r="I79" i="1" s="1"/>
  <c r="G80" i="1"/>
  <c r="I80" i="1" s="1"/>
  <c r="H81" i="1"/>
  <c r="I81" i="1" s="1"/>
  <c r="G82" i="1"/>
  <c r="I82" i="1" s="1"/>
  <c r="G83" i="1"/>
  <c r="I83" i="1" s="1"/>
  <c r="G84" i="1"/>
  <c r="I84" i="1" s="1"/>
  <c r="I85" i="1"/>
  <c r="G86" i="1"/>
  <c r="I86" i="1" s="1"/>
  <c r="G87" i="1"/>
  <c r="I87" i="1" s="1"/>
  <c r="H88" i="1"/>
  <c r="I88" i="1" s="1"/>
  <c r="G89" i="1"/>
  <c r="I89" i="1" s="1"/>
  <c r="H90" i="1"/>
  <c r="I90" i="1" s="1"/>
  <c r="G91" i="1"/>
  <c r="I91" i="1" s="1"/>
  <c r="G92" i="1"/>
  <c r="I92" i="1" s="1"/>
  <c r="I93" i="1"/>
  <c r="I94" i="1"/>
  <c r="H95" i="1"/>
  <c r="I95" i="1" s="1"/>
  <c r="H96" i="1"/>
  <c r="I96" i="1" s="1"/>
  <c r="G97" i="1"/>
  <c r="I97" i="1" s="1"/>
  <c r="G98" i="1"/>
  <c r="I98" i="1" s="1"/>
  <c r="I99" i="1"/>
  <c r="I100" i="1"/>
  <c r="H101" i="1"/>
  <c r="I101" i="1" s="1"/>
  <c r="H102" i="1"/>
  <c r="I102" i="1" s="1"/>
  <c r="H103" i="1"/>
  <c r="I103" i="1" s="1"/>
  <c r="H104" i="1"/>
  <c r="I104" i="1" s="1"/>
  <c r="H105" i="1"/>
  <c r="I105" i="1" s="1"/>
  <c r="G106" i="1"/>
  <c r="I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2" i="1"/>
  <c r="H2" i="1" s="1"/>
</calcChain>
</file>

<file path=xl/sharedStrings.xml><?xml version="1.0" encoding="utf-8"?>
<sst xmlns="http://schemas.openxmlformats.org/spreadsheetml/2006/main" count="449" uniqueCount="32">
  <si>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</si>
  <si>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</si>
  <si>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</si>
  <si>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</si>
  <si>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</si>
  <si>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</si>
  <si>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</si>
  <si>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</si>
  <si>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</si>
  <si>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</si>
  <si>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trial start</t>
  </si>
  <si>
    <t>,0</t>
  </si>
  <si>
    <t>7,</t>
  </si>
  <si>
    <t>n</t>
  </si>
  <si>
    <t>,3</t>
  </si>
  <si>
    <t>y</t>
  </si>
  <si>
    <t>,2</t>
  </si>
  <si>
    <t>,6</t>
  </si>
  <si>
    <t>4,</t>
  </si>
  <si>
    <t>check footage for what happened</t>
  </si>
  <si>
    <t>8,</t>
  </si>
  <si>
    <t>0,</t>
  </si>
  <si>
    <t>,7</t>
  </si>
  <si>
    <t>,5</t>
  </si>
  <si>
    <t>NA</t>
  </si>
  <si>
    <t>,1</t>
  </si>
  <si>
    <t>get female ID later</t>
  </si>
  <si>
    <t>5,</t>
  </si>
  <si>
    <t>3,</t>
  </si>
  <si>
    <t>,4</t>
  </si>
  <si>
    <t>9,</t>
  </si>
  <si>
    <t>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</si>
</sst>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9" fontId="1" fillId="4" borderId="1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19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7883"/>
  <sheetViews>
    <sheetView tabSelected="1" zoomScaleNormal="100" workbookViewId="0">
      <pane ySplit="1" topLeftCell="A2" activePane="bottomLeft" state="frozen"/>
      <selection pane="bottomLeft" activeCell="J18" sqref="J18"/>
    </sheetView>
  </sheetViews>
  <sheetFormatPr defaultRowHeight="15" x14ac:dyDescent="0.25"/>
  <cols>
    <col min="1" max="1" width="10.425781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6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5" t="s">
        <v>7</v>
      </c>
      <c r="I1" s="3" t="s">
        <v>0</v>
      </c>
      <c r="J1" s="17" t="s">
        <v>9</v>
      </c>
    </row>
    <row r="2" spans="1:14" x14ac:dyDescent="0.25">
      <c r="A2">
        <v>1</v>
      </c>
      <c r="B2" s="4">
        <v>0.33385416666666662</v>
      </c>
      <c r="C2" s="4"/>
      <c r="G2" s="6" t="str">
        <f>IF(F2 = "n", "NA", "")</f>
        <v/>
      </c>
      <c r="H2" s="16" t="str">
        <f>IF(G2 = "y", "NA", "")</f>
        <v/>
      </c>
      <c r="I2" s="6" t="s">
        <v>10</v>
      </c>
    </row>
    <row r="3" spans="1:14" x14ac:dyDescent="0.25">
      <c r="A3">
        <v>1</v>
      </c>
      <c r="B3" s="4">
        <v>0.33438657407407407</v>
      </c>
      <c r="C3" s="4">
        <v>0.33515046296296297</v>
      </c>
      <c r="D3" s="5" t="s">
        <v>11</v>
      </c>
      <c r="E3" s="5" t="s">
        <v>12</v>
      </c>
      <c r="F3" s="6" t="s">
        <v>13</v>
      </c>
      <c r="G3" s="6" t="str">
        <f t="shared" ref="G3:G66" si="0">IF(F3 = "n", "NA", "")</f>
        <v>NA</v>
      </c>
      <c r="H3" s="16" t="s">
        <v>13</v>
      </c>
      <c r="I3" s="6" t="str">
        <f t="shared" ref="I3:I66" si="1">IF(H3="n", "insemination", "mount")</f>
        <v>insemination</v>
      </c>
    </row>
    <row r="4" spans="1:14" x14ac:dyDescent="0.25">
      <c r="A4">
        <v>1</v>
      </c>
      <c r="B4" s="4">
        <v>0.3386805555555556</v>
      </c>
      <c r="D4" s="5" t="s">
        <v>14</v>
      </c>
      <c r="E4" s="5" t="s">
        <v>12</v>
      </c>
      <c r="F4" s="6" t="s">
        <v>15</v>
      </c>
      <c r="G4" s="6" t="s">
        <v>15</v>
      </c>
      <c r="H4" s="16" t="str">
        <f t="shared" ref="H4:H63" si="2">IF(G4 = "y", "NA", "")</f>
        <v>NA</v>
      </c>
      <c r="I4" s="6" t="str">
        <f t="shared" si="1"/>
        <v>mount</v>
      </c>
    </row>
    <row r="5" spans="1:14" x14ac:dyDescent="0.25">
      <c r="A5">
        <v>1</v>
      </c>
      <c r="B5" s="4">
        <v>0.33895833333333331</v>
      </c>
      <c r="C5" s="4">
        <v>0.33921296296296299</v>
      </c>
      <c r="D5" s="5" t="s">
        <v>16</v>
      </c>
      <c r="E5" s="5" t="s">
        <v>12</v>
      </c>
      <c r="F5" s="6" t="s">
        <v>13</v>
      </c>
      <c r="G5" s="6" t="str">
        <f t="shared" si="0"/>
        <v>NA</v>
      </c>
      <c r="H5" s="16" t="s">
        <v>13</v>
      </c>
      <c r="I5" s="6" t="str">
        <f t="shared" si="1"/>
        <v>insemination</v>
      </c>
    </row>
    <row r="6" spans="1:14" x14ac:dyDescent="0.25">
      <c r="A6">
        <v>1</v>
      </c>
      <c r="B6" s="4">
        <v>0.34121527777777777</v>
      </c>
      <c r="C6" s="4"/>
      <c r="D6" s="5" t="s">
        <v>17</v>
      </c>
      <c r="E6" s="5" t="s">
        <v>18</v>
      </c>
      <c r="F6" s="6" t="s">
        <v>15</v>
      </c>
      <c r="G6" s="6" t="s">
        <v>15</v>
      </c>
      <c r="H6" s="16" t="str">
        <f t="shared" si="2"/>
        <v>NA</v>
      </c>
      <c r="I6" s="6" t="str">
        <f t="shared" si="1"/>
        <v>mount</v>
      </c>
      <c r="J6" t="s">
        <v>19</v>
      </c>
    </row>
    <row r="7" spans="1:14" x14ac:dyDescent="0.25">
      <c r="A7">
        <v>1</v>
      </c>
      <c r="B7" s="4">
        <v>0.34319444444444441</v>
      </c>
      <c r="C7" s="4"/>
      <c r="D7" s="5" t="s">
        <v>11</v>
      </c>
      <c r="E7" s="5" t="s">
        <v>20</v>
      </c>
      <c r="F7" s="6" t="s">
        <v>13</v>
      </c>
      <c r="G7" s="6" t="str">
        <f t="shared" si="0"/>
        <v>NA</v>
      </c>
      <c r="H7" s="16" t="s">
        <v>15</v>
      </c>
      <c r="I7" s="6" t="str">
        <f t="shared" si="1"/>
        <v>mount</v>
      </c>
    </row>
    <row r="8" spans="1:14" x14ac:dyDescent="0.25">
      <c r="A8">
        <v>1</v>
      </c>
      <c r="B8" s="4">
        <v>0.34343750000000001</v>
      </c>
      <c r="C8" s="4">
        <v>0.34399305555555554</v>
      </c>
      <c r="D8" s="5" t="s">
        <v>17</v>
      </c>
      <c r="E8" s="5" t="s">
        <v>21</v>
      </c>
      <c r="F8" s="6" t="s">
        <v>13</v>
      </c>
      <c r="G8" s="6" t="str">
        <f t="shared" si="0"/>
        <v>NA</v>
      </c>
      <c r="H8" s="16" t="s">
        <v>13</v>
      </c>
      <c r="I8" s="6" t="str">
        <f t="shared" si="1"/>
        <v>insemination</v>
      </c>
    </row>
    <row r="9" spans="1:14" x14ac:dyDescent="0.25">
      <c r="A9">
        <v>1</v>
      </c>
      <c r="B9" s="4">
        <v>0.35350694444444447</v>
      </c>
      <c r="D9" s="5" t="s">
        <v>23</v>
      </c>
      <c r="E9" s="5" t="s">
        <v>20</v>
      </c>
      <c r="F9" s="6" t="s">
        <v>13</v>
      </c>
      <c r="G9" s="6" t="str">
        <f t="shared" si="0"/>
        <v>NA</v>
      </c>
      <c r="H9" s="16" t="s">
        <v>15</v>
      </c>
      <c r="I9" s="6" t="str">
        <f t="shared" si="1"/>
        <v>mount</v>
      </c>
      <c r="L9" s="14"/>
      <c r="M9" s="12"/>
      <c r="N9" s="12"/>
    </row>
    <row r="10" spans="1:14" x14ac:dyDescent="0.25">
      <c r="A10">
        <v>1</v>
      </c>
      <c r="B10" s="4">
        <v>0.3546643518518518</v>
      </c>
      <c r="C10" s="4"/>
      <c r="D10" s="5" t="s">
        <v>17</v>
      </c>
      <c r="E10" s="5" t="s">
        <v>12</v>
      </c>
      <c r="F10" s="6" t="s">
        <v>15</v>
      </c>
      <c r="G10" s="6" t="s">
        <v>13</v>
      </c>
      <c r="H10" s="16" t="s">
        <v>15</v>
      </c>
      <c r="I10" s="6" t="str">
        <f t="shared" si="1"/>
        <v>mount</v>
      </c>
      <c r="L10" s="11"/>
    </row>
    <row r="11" spans="1:14" x14ac:dyDescent="0.25">
      <c r="A11">
        <v>1</v>
      </c>
      <c r="B11" s="4">
        <v>0.35547453703703707</v>
      </c>
      <c r="D11" s="5" t="s">
        <v>16</v>
      </c>
      <c r="E11" s="5" t="s">
        <v>21</v>
      </c>
      <c r="F11" s="6" t="s">
        <v>13</v>
      </c>
      <c r="G11" s="6" t="str">
        <f t="shared" si="0"/>
        <v>NA</v>
      </c>
      <c r="H11" s="16" t="s">
        <v>15</v>
      </c>
      <c r="I11" s="6" t="str">
        <f t="shared" si="1"/>
        <v>mount</v>
      </c>
      <c r="L11" s="11"/>
    </row>
    <row r="12" spans="1:14" x14ac:dyDescent="0.25">
      <c r="A12">
        <v>1</v>
      </c>
      <c r="B12" s="4">
        <v>0.35774305555555558</v>
      </c>
      <c r="C12" s="4"/>
      <c r="D12" s="5" t="s">
        <v>25</v>
      </c>
      <c r="E12" s="5" t="s">
        <v>28</v>
      </c>
      <c r="F12" s="6" t="s">
        <v>15</v>
      </c>
      <c r="G12" s="6" t="s">
        <v>15</v>
      </c>
      <c r="H12" s="16" t="str">
        <f t="shared" si="2"/>
        <v>NA</v>
      </c>
      <c r="I12" s="6" t="str">
        <f t="shared" si="1"/>
        <v>mount</v>
      </c>
      <c r="J12" s="18" t="s">
        <v>26</v>
      </c>
      <c r="L12" s="11"/>
    </row>
    <row r="13" spans="1:14" x14ac:dyDescent="0.25">
      <c r="A13">
        <v>1</v>
      </c>
      <c r="B13" s="4">
        <v>0.36476851851851855</v>
      </c>
      <c r="C13" s="4"/>
      <c r="D13" s="5" t="s">
        <v>29</v>
      </c>
      <c r="E13" s="5" t="s">
        <v>30</v>
      </c>
      <c r="F13" s="6" t="s">
        <v>15</v>
      </c>
      <c r="G13" s="6" t="s">
        <v>15</v>
      </c>
      <c r="H13" s="16" t="str">
        <f t="shared" si="2"/>
        <v>NA</v>
      </c>
      <c r="I13" s="6" t="str">
        <f t="shared" si="1"/>
        <v>mount</v>
      </c>
      <c r="L13" s="11"/>
    </row>
    <row r="14" spans="1:14" x14ac:dyDescent="0.25">
      <c r="A14">
        <v>1</v>
      </c>
      <c r="B14" s="4">
        <v>0.36927083333333338</v>
      </c>
      <c r="C14" s="4"/>
      <c r="D14" s="5" t="s">
        <v>25</v>
      </c>
      <c r="E14" s="5" t="s">
        <v>31</v>
      </c>
      <c r="F14" s="6" t="s">
        <v>15</v>
      </c>
      <c r="G14" s="6" t="s">
        <v>15</v>
      </c>
      <c r="H14" s="16" t="str">
        <f t="shared" si="2"/>
        <v>NA</v>
      </c>
      <c r="I14" s="6" t="str">
        <f t="shared" si="1"/>
        <v>mount</v>
      </c>
      <c r="L14" s="11"/>
    </row>
    <row r="15" spans="1:14" x14ac:dyDescent="0.25">
      <c r="A15">
        <v>1</v>
      </c>
      <c r="B15" s="4">
        <v>0.3752314814814815</v>
      </c>
      <c r="D15" s="5" t="s">
        <v>23</v>
      </c>
      <c r="E15" s="5" t="s">
        <v>31</v>
      </c>
      <c r="F15" s="6" t="s">
        <v>15</v>
      </c>
      <c r="G15" s="6" t="s">
        <v>15</v>
      </c>
      <c r="H15" s="16" t="s">
        <v>24</v>
      </c>
      <c r="I15" s="6" t="str">
        <f t="shared" si="1"/>
        <v>mount</v>
      </c>
      <c r="J15" s="18"/>
      <c r="L15" s="11"/>
    </row>
    <row r="16" spans="1:14" x14ac:dyDescent="0.25">
      <c r="A16">
        <v>1</v>
      </c>
      <c r="B16" s="4">
        <v>0.37965277777777778</v>
      </c>
      <c r="C16" s="4">
        <v>0.37996527777777778</v>
      </c>
      <c r="D16" s="5" t="s">
        <v>17</v>
      </c>
      <c r="E16" s="5" t="s">
        <v>28</v>
      </c>
      <c r="F16" s="6" t="s">
        <v>13</v>
      </c>
      <c r="G16" s="6" t="str">
        <f t="shared" si="0"/>
        <v>NA</v>
      </c>
      <c r="H16" s="16" t="s">
        <v>13</v>
      </c>
      <c r="I16" s="6" t="str">
        <f t="shared" si="1"/>
        <v>insemination</v>
      </c>
      <c r="L16" s="13"/>
    </row>
    <row r="17" spans="1:12" x14ac:dyDescent="0.25">
      <c r="A17">
        <v>1</v>
      </c>
      <c r="B17" s="4">
        <v>0.38496527777777773</v>
      </c>
      <c r="D17" s="5" t="s">
        <v>22</v>
      </c>
      <c r="E17" s="5" t="s">
        <v>30</v>
      </c>
      <c r="F17" s="6" t="s">
        <v>15</v>
      </c>
      <c r="G17" s="6" t="s">
        <v>15</v>
      </c>
      <c r="H17" s="16" t="str">
        <f t="shared" si="2"/>
        <v>NA</v>
      </c>
      <c r="I17" s="6" t="str">
        <f t="shared" si="1"/>
        <v>mount</v>
      </c>
      <c r="L17" s="13"/>
    </row>
    <row r="18" spans="1:12" x14ac:dyDescent="0.25">
      <c r="A18">
        <v>1</v>
      </c>
      <c r="B18" s="4">
        <v>0.42137731481481483</v>
      </c>
      <c r="C18" s="4"/>
      <c r="D18" s="5" t="s">
        <v>29</v>
      </c>
      <c r="E18" s="5" t="s">
        <v>20</v>
      </c>
      <c r="F18" s="6" t="s">
        <v>13</v>
      </c>
      <c r="G18" s="6" t="str">
        <f t="shared" si="0"/>
        <v>NA</v>
      </c>
      <c r="H18" s="16" t="s">
        <v>15</v>
      </c>
      <c r="I18" s="6" t="str">
        <f t="shared" si="1"/>
        <v>mount</v>
      </c>
    </row>
    <row r="19" spans="1:12" x14ac:dyDescent="0.25">
      <c r="A19">
        <v>1</v>
      </c>
      <c r="B19" s="4">
        <v>0.42370370370370369</v>
      </c>
      <c r="D19" s="5" t="s">
        <v>29</v>
      </c>
      <c r="E19" s="5" t="s">
        <v>20</v>
      </c>
      <c r="F19" s="6" t="s">
        <v>13</v>
      </c>
      <c r="G19" s="6" t="str">
        <f t="shared" si="0"/>
        <v>NA</v>
      </c>
      <c r="H19" s="16" t="s">
        <v>15</v>
      </c>
      <c r="I19" s="6" t="str">
        <f t="shared" si="1"/>
        <v>mount</v>
      </c>
    </row>
    <row r="20" spans="1:12" x14ac:dyDescent="0.25">
      <c r="A20">
        <v>1</v>
      </c>
      <c r="B20" s="4">
        <v>0.4377199074074074</v>
      </c>
      <c r="C20" s="4">
        <v>0.43912037037037038</v>
      </c>
      <c r="D20" s="5" t="s">
        <v>29</v>
      </c>
      <c r="E20" s="5" t="s">
        <v>31</v>
      </c>
      <c r="F20" s="6" t="s">
        <v>13</v>
      </c>
      <c r="G20" s="6" t="str">
        <f t="shared" si="0"/>
        <v>NA</v>
      </c>
      <c r="H20" s="16" t="s">
        <v>13</v>
      </c>
      <c r="I20" s="6" t="str">
        <f t="shared" si="1"/>
        <v>insemination</v>
      </c>
    </row>
    <row r="21" spans="1:12" x14ac:dyDescent="0.25">
      <c r="A21">
        <v>1</v>
      </c>
      <c r="B21" s="4">
        <v>0.46166666666666667</v>
      </c>
      <c r="C21" s="4"/>
      <c r="D21" s="5" t="s">
        <v>29</v>
      </c>
      <c r="E21" s="5" t="s">
        <v>31</v>
      </c>
      <c r="F21" s="6" t="s">
        <v>13</v>
      </c>
      <c r="G21" s="6" t="str">
        <f t="shared" si="0"/>
        <v>NA</v>
      </c>
      <c r="H21" s="16" t="s">
        <v>15</v>
      </c>
      <c r="I21" s="6" t="str">
        <f t="shared" si="1"/>
        <v>mount</v>
      </c>
    </row>
    <row r="22" spans="1:12" x14ac:dyDescent="0.25">
      <c r="A22">
        <v>1</v>
      </c>
      <c r="B22" s="4">
        <v>0.46991898148148148</v>
      </c>
      <c r="D22" s="5" t="s">
        <v>29</v>
      </c>
      <c r="E22" s="5" t="s">
        <v>20</v>
      </c>
      <c r="F22" s="6" t="s">
        <v>13</v>
      </c>
      <c r="G22" s="6" t="str">
        <f t="shared" si="0"/>
        <v>NA</v>
      </c>
      <c r="H22" s="16" t="s">
        <v>15</v>
      </c>
      <c r="I22" s="6" t="str">
        <f t="shared" si="1"/>
        <v>mount</v>
      </c>
    </row>
    <row r="23" spans="1:12" x14ac:dyDescent="0.25">
      <c r="A23">
        <v>1</v>
      </c>
      <c r="B23" s="4">
        <v>0.47164351851851855</v>
      </c>
      <c r="C23" s="4"/>
      <c r="D23" s="5" t="s">
        <v>29</v>
      </c>
      <c r="E23" s="5" t="s">
        <v>31</v>
      </c>
      <c r="F23" s="6" t="s">
        <v>13</v>
      </c>
      <c r="G23" s="6" t="str">
        <f t="shared" si="0"/>
        <v>NA</v>
      </c>
      <c r="H23" s="16" t="s">
        <v>15</v>
      </c>
      <c r="I23" s="6" t="str">
        <f t="shared" si="1"/>
        <v>mount</v>
      </c>
      <c r="J23" s="18"/>
    </row>
    <row r="24" spans="1:12" x14ac:dyDescent="0.25">
      <c r="A24">
        <v>1</v>
      </c>
      <c r="B24" s="4">
        <v>0.47298611111111111</v>
      </c>
      <c r="C24" s="4"/>
      <c r="D24" s="5" t="s">
        <v>29</v>
      </c>
      <c r="E24" s="5" t="s">
        <v>31</v>
      </c>
      <c r="F24" s="6" t="s">
        <v>15</v>
      </c>
      <c r="G24" s="6" t="s">
        <v>13</v>
      </c>
      <c r="H24" s="16" t="s">
        <v>15</v>
      </c>
      <c r="I24" s="6" t="str">
        <f t="shared" si="1"/>
        <v>mount</v>
      </c>
    </row>
    <row r="25" spans="1:12" x14ac:dyDescent="0.25">
      <c r="A25">
        <v>1</v>
      </c>
      <c r="B25" s="4">
        <v>0.47542824074074069</v>
      </c>
      <c r="D25" s="5" t="s">
        <v>29</v>
      </c>
      <c r="E25" s="5" t="s">
        <v>31</v>
      </c>
      <c r="F25" s="6" t="s">
        <v>15</v>
      </c>
      <c r="G25" s="6" t="s">
        <v>13</v>
      </c>
      <c r="H25" s="16" t="s">
        <v>15</v>
      </c>
      <c r="I25" s="6" t="str">
        <f t="shared" si="1"/>
        <v>mount</v>
      </c>
    </row>
    <row r="26" spans="1:12" x14ac:dyDescent="0.25">
      <c r="A26">
        <v>1</v>
      </c>
      <c r="B26" s="4">
        <v>0.48009259259259257</v>
      </c>
      <c r="C26" s="4"/>
      <c r="D26" s="5" t="s">
        <v>29</v>
      </c>
      <c r="E26" s="5" t="s">
        <v>31</v>
      </c>
      <c r="F26" s="6" t="s">
        <v>13</v>
      </c>
      <c r="G26" s="6" t="str">
        <f t="shared" si="0"/>
        <v>NA</v>
      </c>
      <c r="H26" s="16" t="s">
        <v>15</v>
      </c>
      <c r="I26" s="6" t="str">
        <f t="shared" si="1"/>
        <v>mount</v>
      </c>
    </row>
    <row r="27" spans="1:12" x14ac:dyDescent="0.25">
      <c r="A27">
        <v>1</v>
      </c>
      <c r="B27" s="4">
        <v>0.49156249999999996</v>
      </c>
      <c r="D27" s="5" t="s">
        <v>29</v>
      </c>
      <c r="E27" s="5" t="s">
        <v>31</v>
      </c>
      <c r="F27" s="6" t="s">
        <v>13</v>
      </c>
      <c r="G27" s="6" t="str">
        <f t="shared" si="0"/>
        <v>NA</v>
      </c>
      <c r="H27" s="16" t="s">
        <v>15</v>
      </c>
      <c r="I27" s="6" t="str">
        <f t="shared" si="1"/>
        <v>mount</v>
      </c>
    </row>
    <row r="28" spans="1:12" x14ac:dyDescent="0.25">
      <c r="A28">
        <v>1</v>
      </c>
      <c r="B28" s="4">
        <v>0.5</v>
      </c>
      <c r="D28" s="5" t="s">
        <v>29</v>
      </c>
      <c r="E28" s="5" t="s">
        <v>20</v>
      </c>
      <c r="F28" s="6" t="s">
        <v>13</v>
      </c>
      <c r="G28" s="6" t="str">
        <f t="shared" si="0"/>
        <v>NA</v>
      </c>
      <c r="H28" s="16" t="s">
        <v>15</v>
      </c>
      <c r="I28" s="6" t="str">
        <f t="shared" si="1"/>
        <v>mount</v>
      </c>
      <c r="J28" s="18"/>
    </row>
    <row r="29" spans="1:12" x14ac:dyDescent="0.25">
      <c r="A29">
        <v>1</v>
      </c>
      <c r="B29" s="10">
        <v>0.51538194444444441</v>
      </c>
      <c r="C29" s="10">
        <v>0.51607638888888896</v>
      </c>
      <c r="D29" s="5" t="s">
        <v>22</v>
      </c>
      <c r="E29" s="5" t="s">
        <v>30</v>
      </c>
      <c r="F29" s="6" t="s">
        <v>13</v>
      </c>
      <c r="G29" s="6" t="str">
        <f t="shared" si="0"/>
        <v>NA</v>
      </c>
      <c r="H29" s="16" t="s">
        <v>13</v>
      </c>
      <c r="I29" s="6" t="str">
        <f t="shared" si="1"/>
        <v>insemination</v>
      </c>
      <c r="J29" s="18"/>
    </row>
    <row r="30" spans="1:12" x14ac:dyDescent="0.25">
      <c r="A30">
        <v>1</v>
      </c>
      <c r="B30" s="4">
        <v>0.5220717592592593</v>
      </c>
      <c r="D30" s="5" t="s">
        <v>29</v>
      </c>
      <c r="E30" s="5" t="s">
        <v>20</v>
      </c>
      <c r="F30" s="6" t="s">
        <v>13</v>
      </c>
      <c r="G30" s="6" t="str">
        <f t="shared" si="0"/>
        <v>NA</v>
      </c>
      <c r="H30" s="16" t="s">
        <v>15</v>
      </c>
      <c r="I30" s="6" t="str">
        <f t="shared" si="1"/>
        <v>mount</v>
      </c>
    </row>
    <row r="31" spans="1:12" x14ac:dyDescent="0.25">
      <c r="A31">
        <v>1</v>
      </c>
      <c r="B31" s="4">
        <v>0.53751157407407402</v>
      </c>
      <c r="D31" s="5" t="s">
        <v>29</v>
      </c>
      <c r="E31" s="5" t="s">
        <v>20</v>
      </c>
      <c r="F31" s="6" t="s">
        <v>13</v>
      </c>
      <c r="G31" s="6" t="str">
        <f t="shared" si="0"/>
        <v>NA</v>
      </c>
      <c r="H31" s="16" t="s">
        <v>15</v>
      </c>
      <c r="I31" s="6" t="str">
        <f t="shared" si="1"/>
        <v>mount</v>
      </c>
    </row>
    <row r="32" spans="1:12" x14ac:dyDescent="0.25">
      <c r="A32">
        <v>1</v>
      </c>
      <c r="B32" s="4">
        <v>0.54677083333333332</v>
      </c>
      <c r="D32" s="5" t="s">
        <v>29</v>
      </c>
      <c r="E32" s="5" t="s">
        <v>31</v>
      </c>
      <c r="F32" s="6" t="s">
        <v>15</v>
      </c>
      <c r="G32" s="6" t="s">
        <v>13</v>
      </c>
      <c r="H32" s="16" t="s">
        <v>15</v>
      </c>
      <c r="I32" s="6" t="str">
        <f t="shared" si="1"/>
        <v>mount</v>
      </c>
    </row>
    <row r="33" spans="1:10" x14ac:dyDescent="0.25">
      <c r="A33">
        <v>1</v>
      </c>
      <c r="B33" s="4">
        <v>0.5510532407407408</v>
      </c>
      <c r="D33" s="5" t="s">
        <v>29</v>
      </c>
      <c r="E33" s="5" t="s">
        <v>20</v>
      </c>
      <c r="F33" s="6" t="s">
        <v>13</v>
      </c>
      <c r="G33" s="6" t="str">
        <f t="shared" si="0"/>
        <v>NA</v>
      </c>
      <c r="H33" s="16" t="s">
        <v>15</v>
      </c>
      <c r="I33" s="6" t="str">
        <f t="shared" si="1"/>
        <v>mount</v>
      </c>
    </row>
    <row r="34" spans="1:10" x14ac:dyDescent="0.25">
      <c r="A34">
        <v>1</v>
      </c>
      <c r="B34" s="4">
        <v>0.55774305555555559</v>
      </c>
      <c r="C34" s="4"/>
      <c r="D34" s="5" t="s">
        <v>11</v>
      </c>
      <c r="E34" s="5" t="s">
        <v>27</v>
      </c>
      <c r="F34" s="6" t="s">
        <v>15</v>
      </c>
      <c r="G34" s="6" t="s">
        <v>13</v>
      </c>
      <c r="H34" s="16" t="s">
        <v>15</v>
      </c>
      <c r="I34" s="6" t="str">
        <f t="shared" si="1"/>
        <v>mount</v>
      </c>
    </row>
    <row r="35" spans="1:10" x14ac:dyDescent="0.25">
      <c r="A35">
        <v>1</v>
      </c>
      <c r="B35" s="4">
        <v>0.55888888888888888</v>
      </c>
      <c r="D35" s="5" t="s">
        <v>11</v>
      </c>
      <c r="E35" s="5" t="s">
        <v>18</v>
      </c>
      <c r="F35" s="6" t="s">
        <v>15</v>
      </c>
      <c r="G35" s="6" t="s">
        <v>13</v>
      </c>
      <c r="H35" s="16" t="s">
        <v>15</v>
      </c>
      <c r="I35" s="6" t="str">
        <f t="shared" si="1"/>
        <v>mount</v>
      </c>
    </row>
    <row r="36" spans="1:10" x14ac:dyDescent="0.25">
      <c r="A36">
        <v>1</v>
      </c>
      <c r="B36" s="4">
        <v>0.56222222222222229</v>
      </c>
      <c r="C36" s="4"/>
      <c r="D36" s="5" t="s">
        <v>11</v>
      </c>
      <c r="E36" s="5" t="s">
        <v>27</v>
      </c>
      <c r="F36" s="6" t="s">
        <v>15</v>
      </c>
      <c r="G36" s="6" t="s">
        <v>13</v>
      </c>
      <c r="H36" s="16" t="s">
        <v>15</v>
      </c>
      <c r="I36" s="6" t="str">
        <f t="shared" si="1"/>
        <v>mount</v>
      </c>
    </row>
    <row r="37" spans="1:10" x14ac:dyDescent="0.25">
      <c r="A37">
        <v>1</v>
      </c>
      <c r="B37" s="4">
        <v>0.56376157407407412</v>
      </c>
      <c r="D37" s="5" t="s">
        <v>11</v>
      </c>
      <c r="E37" s="5" t="s">
        <v>31</v>
      </c>
      <c r="F37" s="6" t="s">
        <v>13</v>
      </c>
      <c r="G37" s="6" t="str">
        <f t="shared" si="0"/>
        <v>NA</v>
      </c>
      <c r="H37" s="16" t="s">
        <v>15</v>
      </c>
      <c r="I37" s="6" t="str">
        <f t="shared" si="1"/>
        <v>mount</v>
      </c>
    </row>
    <row r="38" spans="1:10" x14ac:dyDescent="0.25">
      <c r="A38">
        <v>1</v>
      </c>
      <c r="B38" s="4">
        <v>0.56686342592592587</v>
      </c>
      <c r="D38" s="5" t="s">
        <v>11</v>
      </c>
      <c r="E38" s="5" t="s">
        <v>18</v>
      </c>
      <c r="F38" s="6" t="s">
        <v>13</v>
      </c>
      <c r="G38" s="6" t="str">
        <f t="shared" si="0"/>
        <v>NA</v>
      </c>
      <c r="H38" s="16" t="s">
        <v>15</v>
      </c>
      <c r="I38" s="6" t="str">
        <f t="shared" si="1"/>
        <v>mount</v>
      </c>
      <c r="J38" s="18"/>
    </row>
    <row r="39" spans="1:10" x14ac:dyDescent="0.25">
      <c r="A39">
        <v>1</v>
      </c>
      <c r="B39" s="4">
        <v>0.57289351851851855</v>
      </c>
      <c r="D39" s="5" t="s">
        <v>25</v>
      </c>
      <c r="E39" s="5" t="s">
        <v>27</v>
      </c>
      <c r="F39" s="6" t="s">
        <v>15</v>
      </c>
      <c r="G39" s="6" t="s">
        <v>15</v>
      </c>
      <c r="H39" s="16" t="str">
        <f t="shared" si="2"/>
        <v>NA</v>
      </c>
      <c r="I39" s="6" t="str">
        <f t="shared" si="1"/>
        <v>mount</v>
      </c>
    </row>
    <row r="40" spans="1:10" x14ac:dyDescent="0.25">
      <c r="A40">
        <v>1</v>
      </c>
      <c r="B40" s="4">
        <v>0.57418981481481479</v>
      </c>
      <c r="D40" s="5" t="s">
        <v>22</v>
      </c>
      <c r="E40" s="5" t="s">
        <v>12</v>
      </c>
      <c r="F40" s="6" t="s">
        <v>15</v>
      </c>
      <c r="G40" s="6" t="s">
        <v>15</v>
      </c>
      <c r="H40" s="16" t="str">
        <f t="shared" si="2"/>
        <v>NA</v>
      </c>
      <c r="I40" s="6" t="str">
        <f t="shared" si="1"/>
        <v>mount</v>
      </c>
    </row>
    <row r="41" spans="1:10" x14ac:dyDescent="0.25">
      <c r="A41">
        <v>1</v>
      </c>
      <c r="B41" s="4">
        <v>0.57459490740740737</v>
      </c>
      <c r="D41" s="5" t="s">
        <v>17</v>
      </c>
      <c r="E41" s="5" t="s">
        <v>21</v>
      </c>
      <c r="F41" s="6" t="s">
        <v>13</v>
      </c>
      <c r="G41" s="6" t="str">
        <f t="shared" si="0"/>
        <v>NA</v>
      </c>
      <c r="H41" s="16" t="s">
        <v>15</v>
      </c>
      <c r="I41" s="6" t="str">
        <f t="shared" si="1"/>
        <v>mount</v>
      </c>
    </row>
    <row r="42" spans="1:10" x14ac:dyDescent="0.25">
      <c r="A42">
        <v>1</v>
      </c>
      <c r="B42" s="4">
        <v>0.57891203703703698</v>
      </c>
      <c r="D42" s="5" t="s">
        <v>22</v>
      </c>
      <c r="E42" s="5" t="s">
        <v>18</v>
      </c>
      <c r="F42" s="6" t="s">
        <v>15</v>
      </c>
      <c r="G42" s="6" t="s">
        <v>15</v>
      </c>
      <c r="H42" s="16" t="str">
        <f t="shared" si="2"/>
        <v>NA</v>
      </c>
      <c r="I42" s="6" t="str">
        <f t="shared" si="1"/>
        <v>mount</v>
      </c>
    </row>
    <row r="43" spans="1:10" x14ac:dyDescent="0.25">
      <c r="A43">
        <v>1</v>
      </c>
      <c r="B43" s="4">
        <v>0.5798726851851852</v>
      </c>
      <c r="D43" s="5" t="s">
        <v>22</v>
      </c>
      <c r="E43" s="5" t="s">
        <v>30</v>
      </c>
      <c r="F43" s="6" t="s">
        <v>15</v>
      </c>
      <c r="G43" s="6" t="s">
        <v>13</v>
      </c>
      <c r="H43" s="16" t="s">
        <v>15</v>
      </c>
      <c r="I43" s="6" t="str">
        <f t="shared" si="1"/>
        <v>mount</v>
      </c>
    </row>
    <row r="44" spans="1:10" x14ac:dyDescent="0.25">
      <c r="A44">
        <v>1</v>
      </c>
      <c r="B44" s="4">
        <v>0.5809375</v>
      </c>
      <c r="C44" s="4"/>
      <c r="D44" s="5" t="s">
        <v>25</v>
      </c>
      <c r="E44" s="5" t="s">
        <v>30</v>
      </c>
      <c r="F44" s="6" t="s">
        <v>13</v>
      </c>
      <c r="G44" s="6" t="str">
        <f t="shared" si="0"/>
        <v>NA</v>
      </c>
      <c r="H44" s="16" t="s">
        <v>15</v>
      </c>
      <c r="I44" s="6" t="str">
        <f t="shared" si="1"/>
        <v>mount</v>
      </c>
    </row>
    <row r="45" spans="1:10" x14ac:dyDescent="0.25">
      <c r="A45">
        <v>1</v>
      </c>
      <c r="B45" s="4">
        <v>0.59274305555555562</v>
      </c>
      <c r="C45" s="4">
        <v>0.59325231481481489</v>
      </c>
      <c r="D45" s="5" t="s">
        <v>29</v>
      </c>
      <c r="E45" s="5" t="s">
        <v>12</v>
      </c>
      <c r="F45" s="6" t="s">
        <v>13</v>
      </c>
      <c r="G45" s="6" t="str">
        <f t="shared" si="0"/>
        <v>NA</v>
      </c>
      <c r="H45" s="16" t="s">
        <v>13</v>
      </c>
      <c r="I45" s="6" t="str">
        <f t="shared" si="1"/>
        <v>insemination</v>
      </c>
    </row>
    <row r="46" spans="1:10" x14ac:dyDescent="0.25">
      <c r="A46">
        <v>1</v>
      </c>
      <c r="B46" s="4">
        <v>0.59767361111111106</v>
      </c>
      <c r="D46" s="5" t="s">
        <v>29</v>
      </c>
      <c r="E46" s="5" t="s">
        <v>30</v>
      </c>
      <c r="F46" s="6" t="s">
        <v>15</v>
      </c>
      <c r="G46" s="6" t="s">
        <v>15</v>
      </c>
      <c r="H46" s="16" t="str">
        <f t="shared" si="2"/>
        <v>NA</v>
      </c>
      <c r="I46" s="6" t="str">
        <f t="shared" si="1"/>
        <v>mount</v>
      </c>
    </row>
    <row r="47" spans="1:10" x14ac:dyDescent="0.25">
      <c r="A47">
        <v>1</v>
      </c>
      <c r="B47" s="4">
        <v>0.60003472222222221</v>
      </c>
      <c r="D47" s="5" t="s">
        <v>22</v>
      </c>
      <c r="E47" s="5" t="s">
        <v>18</v>
      </c>
      <c r="F47" s="6" t="s">
        <v>15</v>
      </c>
      <c r="G47" s="6" t="s">
        <v>15</v>
      </c>
      <c r="H47" s="16" t="str">
        <f t="shared" si="2"/>
        <v>NA</v>
      </c>
      <c r="I47" s="6" t="str">
        <f t="shared" si="1"/>
        <v>mount</v>
      </c>
    </row>
    <row r="48" spans="1:10" x14ac:dyDescent="0.25">
      <c r="A48">
        <v>1</v>
      </c>
      <c r="B48" s="4">
        <v>0.60061342592592593</v>
      </c>
      <c r="C48" s="4"/>
      <c r="D48" s="5" t="s">
        <v>22</v>
      </c>
      <c r="E48" s="5" t="s">
        <v>12</v>
      </c>
      <c r="F48" s="6" t="s">
        <v>15</v>
      </c>
      <c r="G48" s="6" t="s">
        <v>13</v>
      </c>
      <c r="H48" s="16" t="s">
        <v>15</v>
      </c>
      <c r="I48" s="6" t="str">
        <f t="shared" si="1"/>
        <v>mount</v>
      </c>
    </row>
    <row r="49" spans="1:10" x14ac:dyDescent="0.25">
      <c r="A49">
        <v>1</v>
      </c>
      <c r="B49" s="4">
        <v>0.61394675925925923</v>
      </c>
      <c r="D49" s="5" t="s">
        <v>22</v>
      </c>
      <c r="E49" s="5" t="s">
        <v>12</v>
      </c>
      <c r="F49" s="6" t="s">
        <v>15</v>
      </c>
      <c r="G49" s="6" t="s">
        <v>15</v>
      </c>
      <c r="H49" s="16" t="str">
        <f t="shared" si="2"/>
        <v>NA</v>
      </c>
      <c r="I49" s="6" t="str">
        <f t="shared" si="1"/>
        <v>mount</v>
      </c>
      <c r="J49" s="18"/>
    </row>
    <row r="50" spans="1:10" x14ac:dyDescent="0.25">
      <c r="A50">
        <v>1</v>
      </c>
      <c r="B50" s="4">
        <v>0.62912037037037039</v>
      </c>
      <c r="D50" s="5" t="s">
        <v>25</v>
      </c>
      <c r="E50" s="5" t="s">
        <v>30</v>
      </c>
      <c r="F50" s="6" t="s">
        <v>13</v>
      </c>
      <c r="G50" s="6" t="str">
        <f t="shared" si="0"/>
        <v>NA</v>
      </c>
      <c r="H50" s="16" t="s">
        <v>15</v>
      </c>
      <c r="I50" s="6" t="str">
        <f t="shared" si="1"/>
        <v>mount</v>
      </c>
    </row>
    <row r="51" spans="1:10" x14ac:dyDescent="0.25">
      <c r="A51">
        <v>1</v>
      </c>
      <c r="B51" s="4">
        <v>0.64402777777777775</v>
      </c>
      <c r="D51" s="5" t="s">
        <v>25</v>
      </c>
      <c r="E51" s="5" t="s">
        <v>27</v>
      </c>
      <c r="F51" s="6" t="s">
        <v>13</v>
      </c>
      <c r="G51" s="6" t="str">
        <f t="shared" si="0"/>
        <v>NA</v>
      </c>
      <c r="H51" s="16" t="s">
        <v>15</v>
      </c>
      <c r="I51" s="6" t="str">
        <f t="shared" si="1"/>
        <v>mount</v>
      </c>
    </row>
    <row r="52" spans="1:10" x14ac:dyDescent="0.25">
      <c r="A52">
        <v>1</v>
      </c>
      <c r="B52" s="4">
        <v>0.65699074074074071</v>
      </c>
      <c r="C52" s="4">
        <v>0.65739583333333329</v>
      </c>
      <c r="D52" s="5" t="s">
        <v>11</v>
      </c>
      <c r="E52" s="5" t="s">
        <v>21</v>
      </c>
      <c r="F52" s="6" t="s">
        <v>13</v>
      </c>
      <c r="G52" s="6" t="str">
        <f t="shared" si="0"/>
        <v>NA</v>
      </c>
      <c r="H52" s="16" t="s">
        <v>13</v>
      </c>
      <c r="I52" s="6" t="str">
        <f t="shared" si="1"/>
        <v>insemination</v>
      </c>
      <c r="J52" s="18"/>
    </row>
    <row r="53" spans="1:10" x14ac:dyDescent="0.25">
      <c r="A53">
        <v>1</v>
      </c>
      <c r="B53" s="4">
        <v>0.65802083333333339</v>
      </c>
      <c r="D53" s="5" t="s">
        <v>22</v>
      </c>
      <c r="E53" s="5" t="s">
        <v>12</v>
      </c>
      <c r="F53" s="6" t="s">
        <v>15</v>
      </c>
      <c r="G53" s="6" t="s">
        <v>15</v>
      </c>
      <c r="H53" s="16" t="str">
        <f t="shared" si="2"/>
        <v>NA</v>
      </c>
      <c r="I53" s="6" t="str">
        <f t="shared" si="1"/>
        <v>mount</v>
      </c>
    </row>
    <row r="54" spans="1:10" x14ac:dyDescent="0.25">
      <c r="A54">
        <v>2</v>
      </c>
      <c r="B54" s="4">
        <v>0.37718750000000001</v>
      </c>
      <c r="C54" s="4">
        <v>0.37827546296296299</v>
      </c>
      <c r="D54" s="5" t="s">
        <v>17</v>
      </c>
      <c r="E54" s="5" t="s">
        <v>27</v>
      </c>
      <c r="F54" s="6" t="s">
        <v>15</v>
      </c>
      <c r="G54" s="6" t="s">
        <v>13</v>
      </c>
      <c r="H54" s="16" t="s">
        <v>13</v>
      </c>
      <c r="I54" s="6" t="str">
        <f t="shared" si="1"/>
        <v>insemination</v>
      </c>
    </row>
    <row r="55" spans="1:10" x14ac:dyDescent="0.25">
      <c r="A55">
        <v>2</v>
      </c>
      <c r="B55" s="4">
        <v>0.44216435185185188</v>
      </c>
      <c r="D55" s="5" t="s">
        <v>17</v>
      </c>
      <c r="E55" s="5" t="s">
        <v>27</v>
      </c>
      <c r="F55" s="6" t="s">
        <v>13</v>
      </c>
      <c r="G55" s="6" t="str">
        <f t="shared" si="0"/>
        <v>NA</v>
      </c>
      <c r="H55" s="16" t="s">
        <v>15</v>
      </c>
      <c r="I55" s="6" t="str">
        <f t="shared" si="1"/>
        <v>mount</v>
      </c>
    </row>
    <row r="56" spans="1:10" x14ac:dyDescent="0.25">
      <c r="A56">
        <v>2</v>
      </c>
      <c r="B56" s="4">
        <v>0.44386574074074076</v>
      </c>
      <c r="D56" s="5" t="s">
        <v>17</v>
      </c>
      <c r="E56" s="5" t="s">
        <v>27</v>
      </c>
      <c r="F56" s="6" t="s">
        <v>15</v>
      </c>
      <c r="G56" s="6" t="s">
        <v>13</v>
      </c>
      <c r="H56" s="16" t="s">
        <v>15</v>
      </c>
      <c r="I56" s="6" t="str">
        <f t="shared" si="1"/>
        <v>mount</v>
      </c>
    </row>
    <row r="57" spans="1:10" x14ac:dyDescent="0.25">
      <c r="A57">
        <v>2</v>
      </c>
      <c r="B57" s="4">
        <v>0.45937500000000003</v>
      </c>
      <c r="C57" s="4">
        <v>0.46003472222222225</v>
      </c>
      <c r="D57" s="5" t="s">
        <v>17</v>
      </c>
      <c r="E57" s="5" t="s">
        <v>12</v>
      </c>
      <c r="F57" s="6" t="s">
        <v>13</v>
      </c>
      <c r="G57" s="6" t="str">
        <f t="shared" si="0"/>
        <v>NA</v>
      </c>
      <c r="H57" s="16" t="s">
        <v>13</v>
      </c>
      <c r="I57" s="6" t="str">
        <f t="shared" si="1"/>
        <v>insemination</v>
      </c>
    </row>
    <row r="58" spans="1:10" x14ac:dyDescent="0.25">
      <c r="A58">
        <v>2</v>
      </c>
      <c r="B58" s="4">
        <v>0.4770833333333333</v>
      </c>
      <c r="D58" s="5" t="s">
        <v>11</v>
      </c>
      <c r="E58" s="5" t="s">
        <v>27</v>
      </c>
      <c r="F58" s="6" t="s">
        <v>15</v>
      </c>
      <c r="G58" s="6" t="s">
        <v>15</v>
      </c>
      <c r="H58" s="16" t="str">
        <f t="shared" si="2"/>
        <v>NA</v>
      </c>
      <c r="I58" s="6" t="str">
        <f t="shared" si="1"/>
        <v>mount</v>
      </c>
    </row>
    <row r="59" spans="1:10" x14ac:dyDescent="0.25">
      <c r="A59">
        <v>2</v>
      </c>
      <c r="B59" s="4">
        <v>0.47711805555555559</v>
      </c>
      <c r="D59" s="5" t="s">
        <v>11</v>
      </c>
      <c r="E59" s="5" t="s">
        <v>27</v>
      </c>
      <c r="F59" s="6" t="s">
        <v>15</v>
      </c>
      <c r="G59" s="6" t="s">
        <v>15</v>
      </c>
      <c r="H59" s="16" t="str">
        <f t="shared" si="2"/>
        <v>NA</v>
      </c>
      <c r="I59" s="6" t="str">
        <f t="shared" si="1"/>
        <v>mount</v>
      </c>
    </row>
    <row r="60" spans="1:10" x14ac:dyDescent="0.25">
      <c r="A60">
        <v>2</v>
      </c>
      <c r="B60" s="4">
        <v>0.48402777777777778</v>
      </c>
      <c r="C60" s="4">
        <v>0.48465277777777777</v>
      </c>
      <c r="D60" s="5" t="s">
        <v>11</v>
      </c>
      <c r="E60" s="5" t="s">
        <v>27</v>
      </c>
      <c r="F60" s="6" t="s">
        <v>15</v>
      </c>
      <c r="G60" s="6" t="s">
        <v>13</v>
      </c>
      <c r="H60" s="16" t="s">
        <v>13</v>
      </c>
      <c r="I60" s="6" t="str">
        <f t="shared" si="1"/>
        <v>insemination</v>
      </c>
    </row>
    <row r="61" spans="1:10" x14ac:dyDescent="0.25">
      <c r="A61">
        <v>2</v>
      </c>
      <c r="B61" s="4">
        <v>0.48517361111111112</v>
      </c>
      <c r="D61" s="5" t="s">
        <v>29</v>
      </c>
      <c r="E61" s="5" t="s">
        <v>27</v>
      </c>
      <c r="F61" s="6" t="s">
        <v>15</v>
      </c>
      <c r="G61" s="6" t="s">
        <v>15</v>
      </c>
      <c r="H61" s="16" t="str">
        <f t="shared" si="2"/>
        <v>NA</v>
      </c>
      <c r="I61" s="6" t="str">
        <f t="shared" si="1"/>
        <v>mount</v>
      </c>
    </row>
    <row r="62" spans="1:10" x14ac:dyDescent="0.25">
      <c r="A62">
        <v>2</v>
      </c>
      <c r="B62" s="4">
        <v>0.48548611111111112</v>
      </c>
      <c r="C62" s="4">
        <v>0.48609953703703707</v>
      </c>
      <c r="D62" s="5" t="s">
        <v>16</v>
      </c>
      <c r="E62" s="5" t="s">
        <v>27</v>
      </c>
      <c r="F62" s="6" t="s">
        <v>13</v>
      </c>
      <c r="G62" s="6" t="str">
        <f t="shared" si="0"/>
        <v>NA</v>
      </c>
      <c r="H62" s="16" t="s">
        <v>13</v>
      </c>
      <c r="I62" s="6" t="str">
        <f t="shared" si="1"/>
        <v>insemination</v>
      </c>
    </row>
    <row r="63" spans="1:10" x14ac:dyDescent="0.25">
      <c r="A63">
        <v>2</v>
      </c>
      <c r="B63" s="4">
        <v>0.48715277777777777</v>
      </c>
      <c r="D63" s="5" t="s">
        <v>14</v>
      </c>
      <c r="E63" s="5" t="s">
        <v>27</v>
      </c>
      <c r="F63" s="6" t="s">
        <v>15</v>
      </c>
      <c r="G63" s="6" t="s">
        <v>15</v>
      </c>
      <c r="H63" s="16" t="str">
        <f t="shared" si="2"/>
        <v>NA</v>
      </c>
      <c r="I63" s="6" t="str">
        <f t="shared" si="1"/>
        <v>mount</v>
      </c>
    </row>
    <row r="64" spans="1:10" x14ac:dyDescent="0.25">
      <c r="A64">
        <v>2</v>
      </c>
      <c r="B64" s="4">
        <v>0.48812499999999998</v>
      </c>
      <c r="D64" s="5" t="s">
        <v>29</v>
      </c>
      <c r="E64" s="5" t="s">
        <v>27</v>
      </c>
      <c r="F64" s="6" t="s">
        <v>15</v>
      </c>
      <c r="G64" s="6" t="s">
        <v>13</v>
      </c>
      <c r="H64" s="16" t="s">
        <v>15</v>
      </c>
      <c r="I64" s="6" t="str">
        <f t="shared" si="1"/>
        <v>mount</v>
      </c>
    </row>
    <row r="65" spans="1:10" x14ac:dyDescent="0.25">
      <c r="A65">
        <v>2</v>
      </c>
      <c r="B65" s="4">
        <v>0.49744212962962964</v>
      </c>
      <c r="D65" s="5" t="s">
        <v>23</v>
      </c>
      <c r="E65" s="5" t="s">
        <v>20</v>
      </c>
      <c r="F65" s="6" t="s">
        <v>13</v>
      </c>
      <c r="G65" s="6" t="str">
        <f t="shared" si="0"/>
        <v>NA</v>
      </c>
      <c r="H65" s="16" t="s">
        <v>15</v>
      </c>
      <c r="I65" s="6" t="str">
        <f t="shared" si="1"/>
        <v>mount</v>
      </c>
    </row>
    <row r="66" spans="1:10" x14ac:dyDescent="0.25">
      <c r="A66">
        <v>2</v>
      </c>
      <c r="B66" s="4">
        <v>0.50037037037037035</v>
      </c>
      <c r="D66" s="5" t="s">
        <v>23</v>
      </c>
      <c r="E66" s="5" t="s">
        <v>30</v>
      </c>
      <c r="F66" s="6" t="s">
        <v>13</v>
      </c>
      <c r="G66" s="6" t="str">
        <f t="shared" si="0"/>
        <v>NA</v>
      </c>
      <c r="H66" s="16" t="s">
        <v>15</v>
      </c>
      <c r="I66" s="6" t="str">
        <f t="shared" si="1"/>
        <v>mount</v>
      </c>
    </row>
    <row r="67" spans="1:10" x14ac:dyDescent="0.25">
      <c r="A67">
        <v>2</v>
      </c>
      <c r="B67" s="4">
        <v>0.5015856481481481</v>
      </c>
      <c r="D67" s="19" t="s">
        <v>23</v>
      </c>
      <c r="E67" s="5" t="s">
        <v>20</v>
      </c>
      <c r="F67" s="6" t="s">
        <v>13</v>
      </c>
      <c r="G67" s="6" t="str">
        <f t="shared" ref="G67:G106" si="3">IF(F67 = "n", "NA", "")</f>
        <v>NA</v>
      </c>
      <c r="H67" s="16" t="s">
        <v>15</v>
      </c>
      <c r="I67" s="6" t="str">
        <f t="shared" ref="I67:I106" si="4">IF(H67="n", "insemination", "mount")</f>
        <v>mount</v>
      </c>
    </row>
    <row r="68" spans="1:10" x14ac:dyDescent="0.25">
      <c r="A68">
        <v>2</v>
      </c>
      <c r="B68" s="4">
        <v>0.50320601851851854</v>
      </c>
      <c r="D68" s="5" t="s">
        <v>23</v>
      </c>
      <c r="E68" s="5" t="s">
        <v>30</v>
      </c>
      <c r="F68" s="6" t="s">
        <v>13</v>
      </c>
      <c r="G68" s="6" t="str">
        <f t="shared" si="3"/>
        <v>NA</v>
      </c>
      <c r="H68" s="16" t="s">
        <v>15</v>
      </c>
      <c r="I68" s="6" t="str">
        <f t="shared" si="4"/>
        <v>mount</v>
      </c>
    </row>
    <row r="69" spans="1:10" x14ac:dyDescent="0.25">
      <c r="A69">
        <v>2</v>
      </c>
      <c r="B69" s="4">
        <v>0.50543981481481481</v>
      </c>
      <c r="D69" s="5" t="s">
        <v>11</v>
      </c>
      <c r="E69" s="5" t="s">
        <v>31</v>
      </c>
      <c r="F69" s="6" t="s">
        <v>15</v>
      </c>
      <c r="G69" s="6" t="s">
        <v>15</v>
      </c>
      <c r="H69" s="16" t="str">
        <f t="shared" ref="H69:H105" si="5">IF(G69 = "y", "NA", "")</f>
        <v>NA</v>
      </c>
      <c r="I69" s="6" t="str">
        <f t="shared" si="4"/>
        <v>mount</v>
      </c>
    </row>
    <row r="70" spans="1:10" x14ac:dyDescent="0.25">
      <c r="A70">
        <v>2</v>
      </c>
      <c r="B70" s="4">
        <v>0.50681712962962966</v>
      </c>
      <c r="D70" s="5" t="s">
        <v>23</v>
      </c>
      <c r="E70" s="5" t="s">
        <v>18</v>
      </c>
      <c r="F70" s="6" t="s">
        <v>13</v>
      </c>
      <c r="G70" s="6" t="str">
        <f t="shared" si="3"/>
        <v>NA</v>
      </c>
      <c r="H70" s="16" t="s">
        <v>15</v>
      </c>
      <c r="I70" s="6" t="str">
        <f t="shared" si="4"/>
        <v>mount</v>
      </c>
    </row>
    <row r="71" spans="1:10" x14ac:dyDescent="0.25">
      <c r="A71">
        <v>2</v>
      </c>
      <c r="B71" s="4">
        <v>0.50702546296296302</v>
      </c>
      <c r="C71" s="4"/>
      <c r="D71" s="5" t="s">
        <v>23</v>
      </c>
      <c r="E71" s="5" t="s">
        <v>18</v>
      </c>
      <c r="F71" s="6" t="s">
        <v>13</v>
      </c>
      <c r="G71" s="6" t="str">
        <f t="shared" si="3"/>
        <v>NA</v>
      </c>
      <c r="H71" s="16" t="s">
        <v>15</v>
      </c>
      <c r="I71" s="6" t="str">
        <f t="shared" si="4"/>
        <v>mount</v>
      </c>
    </row>
    <row r="72" spans="1:10" x14ac:dyDescent="0.25">
      <c r="A72">
        <v>2</v>
      </c>
      <c r="B72" s="4">
        <v>0.50795138888888891</v>
      </c>
      <c r="D72" s="5" t="s">
        <v>23</v>
      </c>
      <c r="E72" s="5" t="s">
        <v>18</v>
      </c>
      <c r="F72" s="6" t="s">
        <v>13</v>
      </c>
      <c r="G72" s="6" t="str">
        <f t="shared" si="3"/>
        <v>NA</v>
      </c>
      <c r="H72" s="16" t="s">
        <v>15</v>
      </c>
      <c r="I72" s="6" t="str">
        <f t="shared" si="4"/>
        <v>mount</v>
      </c>
    </row>
    <row r="73" spans="1:10" x14ac:dyDescent="0.25">
      <c r="A73">
        <v>2</v>
      </c>
      <c r="B73" s="4">
        <v>0.50885416666666672</v>
      </c>
      <c r="D73" s="5" t="s">
        <v>23</v>
      </c>
      <c r="E73" s="5" t="s">
        <v>20</v>
      </c>
      <c r="F73" s="6" t="s">
        <v>13</v>
      </c>
      <c r="G73" s="6" t="str">
        <f t="shared" si="3"/>
        <v>NA</v>
      </c>
      <c r="H73" s="16" t="s">
        <v>15</v>
      </c>
      <c r="I73" s="6" t="str">
        <f t="shared" si="4"/>
        <v>mount</v>
      </c>
    </row>
    <row r="74" spans="1:10" x14ac:dyDescent="0.25">
      <c r="A74">
        <v>2</v>
      </c>
      <c r="B74" s="4">
        <v>0.5099421296296297</v>
      </c>
      <c r="D74" s="5" t="s">
        <v>23</v>
      </c>
      <c r="E74" s="5" t="s">
        <v>31</v>
      </c>
      <c r="F74" s="6" t="s">
        <v>13</v>
      </c>
      <c r="G74" s="6" t="str">
        <f t="shared" si="3"/>
        <v>NA</v>
      </c>
      <c r="H74" s="16" t="s">
        <v>15</v>
      </c>
      <c r="I74" s="6" t="str">
        <f t="shared" si="4"/>
        <v>mount</v>
      </c>
      <c r="J74" s="18"/>
    </row>
    <row r="75" spans="1:10" x14ac:dyDescent="0.25">
      <c r="A75">
        <v>2</v>
      </c>
      <c r="B75" s="4">
        <v>0.51033564814814814</v>
      </c>
      <c r="D75" s="5" t="s">
        <v>23</v>
      </c>
      <c r="E75" s="5" t="s">
        <v>31</v>
      </c>
      <c r="F75" s="6" t="s">
        <v>15</v>
      </c>
      <c r="G75" s="6" t="s">
        <v>15</v>
      </c>
      <c r="H75" s="16" t="str">
        <f t="shared" si="5"/>
        <v>NA</v>
      </c>
      <c r="I75" s="6" t="str">
        <f t="shared" si="4"/>
        <v>mount</v>
      </c>
    </row>
    <row r="76" spans="1:10" x14ac:dyDescent="0.25">
      <c r="A76">
        <v>2</v>
      </c>
      <c r="B76" s="4">
        <v>0.51037037037037036</v>
      </c>
      <c r="D76" s="5" t="s">
        <v>23</v>
      </c>
      <c r="E76" s="5" t="s">
        <v>31</v>
      </c>
      <c r="F76" s="6" t="s">
        <v>15</v>
      </c>
      <c r="G76" s="6" t="s">
        <v>13</v>
      </c>
      <c r="H76" s="16" t="s">
        <v>15</v>
      </c>
      <c r="I76" s="6" t="str">
        <f t="shared" si="4"/>
        <v>mount</v>
      </c>
    </row>
    <row r="77" spans="1:10" x14ac:dyDescent="0.25">
      <c r="A77">
        <v>2</v>
      </c>
      <c r="B77" s="4">
        <v>0.51127314814814817</v>
      </c>
      <c r="D77" s="5" t="s">
        <v>23</v>
      </c>
      <c r="E77" s="5" t="s">
        <v>12</v>
      </c>
      <c r="F77" s="6" t="s">
        <v>15</v>
      </c>
      <c r="G77" s="6" t="s">
        <v>15</v>
      </c>
      <c r="H77" s="16" t="str">
        <f t="shared" si="5"/>
        <v>NA</v>
      </c>
      <c r="I77" s="6" t="str">
        <f t="shared" si="4"/>
        <v>mount</v>
      </c>
    </row>
    <row r="78" spans="1:10" x14ac:dyDescent="0.25">
      <c r="A78">
        <v>2</v>
      </c>
      <c r="B78" s="4">
        <v>0.51436342592592588</v>
      </c>
      <c r="C78" s="4"/>
      <c r="D78" s="5" t="s">
        <v>23</v>
      </c>
      <c r="E78" s="5" t="s">
        <v>18</v>
      </c>
      <c r="F78" s="6" t="s">
        <v>13</v>
      </c>
      <c r="G78" s="6" t="str">
        <f t="shared" si="3"/>
        <v>NA</v>
      </c>
      <c r="H78" s="16" t="s">
        <v>15</v>
      </c>
      <c r="I78" s="6" t="str">
        <f t="shared" si="4"/>
        <v>mount</v>
      </c>
    </row>
    <row r="79" spans="1:10" x14ac:dyDescent="0.25">
      <c r="A79">
        <v>2</v>
      </c>
      <c r="B79" s="4">
        <v>0.51545138888888886</v>
      </c>
      <c r="D79" s="5" t="s">
        <v>23</v>
      </c>
      <c r="E79" s="5" t="s">
        <v>30</v>
      </c>
      <c r="F79" s="6" t="s">
        <v>13</v>
      </c>
      <c r="G79" s="6" t="str">
        <f t="shared" si="3"/>
        <v>NA</v>
      </c>
      <c r="H79" s="16" t="s">
        <v>15</v>
      </c>
      <c r="I79" s="6" t="str">
        <f t="shared" si="4"/>
        <v>mount</v>
      </c>
    </row>
    <row r="80" spans="1:10" x14ac:dyDescent="0.25">
      <c r="A80">
        <v>2</v>
      </c>
      <c r="B80" s="4">
        <v>0.516087962962963</v>
      </c>
      <c r="C80" s="4"/>
      <c r="D80" s="5" t="s">
        <v>23</v>
      </c>
      <c r="E80" s="5" t="s">
        <v>30</v>
      </c>
      <c r="F80" s="6" t="s">
        <v>13</v>
      </c>
      <c r="G80" s="6" t="str">
        <f t="shared" si="3"/>
        <v>NA</v>
      </c>
      <c r="H80" s="16" t="s">
        <v>15</v>
      </c>
      <c r="I80" s="6" t="str">
        <f t="shared" si="4"/>
        <v>mount</v>
      </c>
    </row>
    <row r="81" spans="1:10" x14ac:dyDescent="0.25">
      <c r="A81">
        <v>2</v>
      </c>
      <c r="B81" s="4">
        <v>0.51653935185185185</v>
      </c>
      <c r="D81" s="5" t="s">
        <v>23</v>
      </c>
      <c r="E81" s="5" t="s">
        <v>20</v>
      </c>
      <c r="F81" s="6" t="s">
        <v>15</v>
      </c>
      <c r="G81" s="6" t="s">
        <v>15</v>
      </c>
      <c r="H81" s="16" t="str">
        <f t="shared" si="5"/>
        <v>NA</v>
      </c>
      <c r="I81" s="6" t="str">
        <f t="shared" si="4"/>
        <v>mount</v>
      </c>
    </row>
    <row r="82" spans="1:10" x14ac:dyDescent="0.25">
      <c r="A82">
        <v>2</v>
      </c>
      <c r="B82" s="4">
        <v>0.5176736111111111</v>
      </c>
      <c r="D82" s="5" t="s">
        <v>23</v>
      </c>
      <c r="E82" s="5" t="s">
        <v>30</v>
      </c>
      <c r="F82" s="6" t="s">
        <v>13</v>
      </c>
      <c r="G82" s="6" t="str">
        <f t="shared" si="3"/>
        <v>NA</v>
      </c>
      <c r="H82" s="16" t="s">
        <v>15</v>
      </c>
      <c r="I82" s="6" t="str">
        <f t="shared" si="4"/>
        <v>mount</v>
      </c>
    </row>
    <row r="83" spans="1:10" x14ac:dyDescent="0.25">
      <c r="A83">
        <v>2</v>
      </c>
      <c r="B83" s="4">
        <v>0.51790509259259265</v>
      </c>
      <c r="D83" s="5" t="s">
        <v>23</v>
      </c>
      <c r="E83" s="5" t="s">
        <v>20</v>
      </c>
      <c r="F83" s="6" t="s">
        <v>13</v>
      </c>
      <c r="G83" s="6" t="str">
        <f t="shared" si="3"/>
        <v>NA</v>
      </c>
      <c r="H83" s="16" t="s">
        <v>15</v>
      </c>
      <c r="I83" s="6" t="str">
        <f t="shared" si="4"/>
        <v>mount</v>
      </c>
    </row>
    <row r="84" spans="1:10" x14ac:dyDescent="0.25">
      <c r="A84">
        <v>2</v>
      </c>
      <c r="B84" s="4">
        <v>0.51901620370370372</v>
      </c>
      <c r="D84" s="5" t="s">
        <v>23</v>
      </c>
      <c r="E84" s="5" t="s">
        <v>12</v>
      </c>
      <c r="F84" s="6" t="s">
        <v>13</v>
      </c>
      <c r="G84" s="6" t="str">
        <f t="shared" si="3"/>
        <v>NA</v>
      </c>
      <c r="H84" s="16" t="s">
        <v>15</v>
      </c>
      <c r="I84" s="6" t="str">
        <f t="shared" si="4"/>
        <v>mount</v>
      </c>
      <c r="J84" s="18"/>
    </row>
    <row r="85" spans="1:10" x14ac:dyDescent="0.25">
      <c r="A85">
        <v>2</v>
      </c>
      <c r="B85" s="4">
        <v>0.52496527777777779</v>
      </c>
      <c r="D85" s="5" t="s">
        <v>23</v>
      </c>
      <c r="E85" s="5" t="s">
        <v>27</v>
      </c>
      <c r="F85" s="6" t="s">
        <v>15</v>
      </c>
      <c r="G85" s="6" t="s">
        <v>13</v>
      </c>
      <c r="H85" s="16" t="s">
        <v>15</v>
      </c>
      <c r="I85" s="6" t="str">
        <f t="shared" si="4"/>
        <v>mount</v>
      </c>
    </row>
    <row r="86" spans="1:10" x14ac:dyDescent="0.25">
      <c r="A86">
        <v>2</v>
      </c>
      <c r="B86" s="4">
        <v>0.52533564814814815</v>
      </c>
      <c r="D86" s="5" t="s">
        <v>23</v>
      </c>
      <c r="E86" s="5" t="s">
        <v>18</v>
      </c>
      <c r="F86" s="6" t="s">
        <v>13</v>
      </c>
      <c r="G86" s="6" t="str">
        <f t="shared" si="3"/>
        <v>NA</v>
      </c>
      <c r="H86" s="16" t="s">
        <v>15</v>
      </c>
      <c r="I86" s="6" t="str">
        <f t="shared" si="4"/>
        <v>mount</v>
      </c>
    </row>
    <row r="87" spans="1:10" x14ac:dyDescent="0.25">
      <c r="A87">
        <v>2</v>
      </c>
      <c r="B87" s="4">
        <v>0.52662037037037035</v>
      </c>
      <c r="D87" s="5" t="s">
        <v>23</v>
      </c>
      <c r="E87" s="5" t="s">
        <v>30</v>
      </c>
      <c r="F87" s="6" t="s">
        <v>13</v>
      </c>
      <c r="G87" s="6" t="str">
        <f t="shared" si="3"/>
        <v>NA</v>
      </c>
      <c r="H87" s="16" t="s">
        <v>15</v>
      </c>
      <c r="I87" s="6" t="str">
        <f t="shared" si="4"/>
        <v>mount</v>
      </c>
    </row>
    <row r="88" spans="1:10" x14ac:dyDescent="0.25">
      <c r="A88">
        <v>2</v>
      </c>
      <c r="B88" s="4">
        <v>0.52673611111111118</v>
      </c>
      <c r="D88" s="5" t="s">
        <v>23</v>
      </c>
      <c r="E88" s="5" t="s">
        <v>20</v>
      </c>
      <c r="F88" s="6" t="s">
        <v>15</v>
      </c>
      <c r="G88" s="6" t="s">
        <v>15</v>
      </c>
      <c r="H88" s="16" t="str">
        <f t="shared" si="5"/>
        <v>NA</v>
      </c>
      <c r="I88" s="6" t="str">
        <f t="shared" si="4"/>
        <v>mount</v>
      </c>
    </row>
    <row r="89" spans="1:10" x14ac:dyDescent="0.25">
      <c r="A89">
        <v>2</v>
      </c>
      <c r="B89" s="4">
        <v>0.53215277777777781</v>
      </c>
      <c r="D89" s="5" t="s">
        <v>23</v>
      </c>
      <c r="E89" s="5" t="s">
        <v>12</v>
      </c>
      <c r="F89" s="6" t="s">
        <v>13</v>
      </c>
      <c r="G89" s="6" t="str">
        <f t="shared" si="3"/>
        <v>NA</v>
      </c>
      <c r="H89" s="16" t="s">
        <v>15</v>
      </c>
      <c r="I89" s="6" t="str">
        <f t="shared" si="4"/>
        <v>mount</v>
      </c>
    </row>
    <row r="90" spans="1:10" x14ac:dyDescent="0.25">
      <c r="A90">
        <v>2</v>
      </c>
      <c r="B90" s="4">
        <v>0.54222222222222227</v>
      </c>
      <c r="D90" s="5" t="s">
        <v>23</v>
      </c>
      <c r="E90" s="5" t="s">
        <v>18</v>
      </c>
      <c r="F90" s="6" t="s">
        <v>15</v>
      </c>
      <c r="G90" s="6" t="s">
        <v>15</v>
      </c>
      <c r="H90" s="16" t="str">
        <f t="shared" si="5"/>
        <v>NA</v>
      </c>
      <c r="I90" s="6" t="str">
        <f t="shared" si="4"/>
        <v>mount</v>
      </c>
    </row>
    <row r="91" spans="1:10" x14ac:dyDescent="0.25">
      <c r="A91">
        <v>2</v>
      </c>
      <c r="B91" s="4">
        <v>0.54796296296296299</v>
      </c>
      <c r="D91" s="5" t="s">
        <v>23</v>
      </c>
      <c r="E91" s="5" t="s">
        <v>27</v>
      </c>
      <c r="F91" s="6" t="s">
        <v>13</v>
      </c>
      <c r="G91" s="6" t="str">
        <f t="shared" si="3"/>
        <v>NA</v>
      </c>
      <c r="H91" s="16" t="s">
        <v>15</v>
      </c>
      <c r="I91" s="6" t="str">
        <f t="shared" si="4"/>
        <v>mount</v>
      </c>
    </row>
    <row r="92" spans="1:10" x14ac:dyDescent="0.25">
      <c r="A92">
        <v>2</v>
      </c>
      <c r="B92" s="4">
        <v>0.58968750000000003</v>
      </c>
      <c r="D92" s="5" t="s">
        <v>22</v>
      </c>
      <c r="E92" s="5" t="s">
        <v>21</v>
      </c>
      <c r="F92" s="6" t="s">
        <v>13</v>
      </c>
      <c r="G92" s="6" t="str">
        <f t="shared" si="3"/>
        <v>NA</v>
      </c>
      <c r="H92" s="16" t="s">
        <v>15</v>
      </c>
      <c r="I92" s="6" t="str">
        <f t="shared" si="4"/>
        <v>mount</v>
      </c>
    </row>
    <row r="93" spans="1:10" x14ac:dyDescent="0.25">
      <c r="A93">
        <v>2</v>
      </c>
      <c r="B93" s="4">
        <v>0.59291666666666665</v>
      </c>
      <c r="D93" s="5" t="s">
        <v>17</v>
      </c>
      <c r="E93" s="5" t="s">
        <v>30</v>
      </c>
      <c r="F93" s="6" t="s">
        <v>15</v>
      </c>
      <c r="G93" s="6" t="s">
        <v>13</v>
      </c>
      <c r="H93" s="16" t="s">
        <v>15</v>
      </c>
      <c r="I93" s="6" t="str">
        <f t="shared" si="4"/>
        <v>mount</v>
      </c>
    </row>
    <row r="94" spans="1:10" x14ac:dyDescent="0.25">
      <c r="A94">
        <v>2</v>
      </c>
      <c r="B94" s="4">
        <v>0.60741898148148155</v>
      </c>
      <c r="C94" s="4">
        <v>0.60769675925925926</v>
      </c>
      <c r="D94" s="5" t="s">
        <v>22</v>
      </c>
      <c r="E94" s="5" t="s">
        <v>28</v>
      </c>
      <c r="F94" s="6" t="s">
        <v>15</v>
      </c>
      <c r="G94" s="6" t="s">
        <v>13</v>
      </c>
      <c r="H94" s="16" t="s">
        <v>15</v>
      </c>
      <c r="I94" s="6" t="str">
        <f t="shared" si="4"/>
        <v>mount</v>
      </c>
    </row>
    <row r="95" spans="1:10" x14ac:dyDescent="0.25">
      <c r="A95">
        <v>2</v>
      </c>
      <c r="B95" s="4">
        <v>0.61037037037037034</v>
      </c>
      <c r="D95" s="5" t="s">
        <v>22</v>
      </c>
      <c r="E95" s="5" t="s">
        <v>20</v>
      </c>
      <c r="F95" s="6" t="s">
        <v>15</v>
      </c>
      <c r="G95" s="6" t="s">
        <v>15</v>
      </c>
      <c r="H95" s="16" t="str">
        <f t="shared" si="5"/>
        <v>NA</v>
      </c>
      <c r="I95" s="6" t="str">
        <f t="shared" si="4"/>
        <v>mount</v>
      </c>
      <c r="J95" s="18"/>
    </row>
    <row r="96" spans="1:10" x14ac:dyDescent="0.25">
      <c r="A96">
        <v>2</v>
      </c>
      <c r="B96" s="4">
        <v>0.61241898148148144</v>
      </c>
      <c r="D96" s="5" t="s">
        <v>22</v>
      </c>
      <c r="E96" s="5" t="s">
        <v>21</v>
      </c>
      <c r="F96" s="6" t="s">
        <v>15</v>
      </c>
      <c r="G96" s="6" t="s">
        <v>15</v>
      </c>
      <c r="H96" s="16" t="str">
        <f t="shared" si="5"/>
        <v>NA</v>
      </c>
      <c r="I96" s="6" t="str">
        <f t="shared" si="4"/>
        <v>mount</v>
      </c>
    </row>
    <row r="97" spans="1:9" x14ac:dyDescent="0.25">
      <c r="A97">
        <v>2</v>
      </c>
      <c r="B97" s="4">
        <v>0.61341435185185189</v>
      </c>
      <c r="C97" s="4">
        <v>0.6138541666666667</v>
      </c>
      <c r="D97" s="5" t="s">
        <v>11</v>
      </c>
      <c r="E97" s="5" t="s">
        <v>20</v>
      </c>
      <c r="F97" s="6" t="s">
        <v>13</v>
      </c>
      <c r="G97" s="6" t="str">
        <f t="shared" si="3"/>
        <v>NA</v>
      </c>
      <c r="H97" s="16" t="s">
        <v>13</v>
      </c>
      <c r="I97" s="6" t="str">
        <f t="shared" si="4"/>
        <v>insemination</v>
      </c>
    </row>
    <row r="98" spans="1:9" x14ac:dyDescent="0.25">
      <c r="A98">
        <v>2</v>
      </c>
      <c r="B98" s="4">
        <v>0.61775462962962957</v>
      </c>
      <c r="D98" s="5" t="s">
        <v>22</v>
      </c>
      <c r="E98" s="5" t="s">
        <v>21</v>
      </c>
      <c r="F98" s="6" t="s">
        <v>13</v>
      </c>
      <c r="G98" s="6" t="str">
        <f t="shared" si="3"/>
        <v>NA</v>
      </c>
      <c r="H98" s="16" t="s">
        <v>15</v>
      </c>
      <c r="I98" s="6" t="str">
        <f t="shared" si="4"/>
        <v>mount</v>
      </c>
    </row>
    <row r="99" spans="1:9" x14ac:dyDescent="0.25">
      <c r="A99">
        <v>2</v>
      </c>
      <c r="B99" s="4">
        <v>0.63567129629629626</v>
      </c>
      <c r="C99" s="4">
        <v>0.63592592592592589</v>
      </c>
      <c r="D99" s="5" t="s">
        <v>22</v>
      </c>
      <c r="E99" s="5" t="s">
        <v>27</v>
      </c>
      <c r="F99" s="6" t="s">
        <v>15</v>
      </c>
      <c r="G99" s="6" t="s">
        <v>13</v>
      </c>
      <c r="H99" s="16" t="s">
        <v>15</v>
      </c>
      <c r="I99" s="6" t="str">
        <f t="shared" si="4"/>
        <v>mount</v>
      </c>
    </row>
    <row r="100" spans="1:9" x14ac:dyDescent="0.25">
      <c r="A100">
        <v>2</v>
      </c>
      <c r="B100" s="4">
        <v>0.63706018518518526</v>
      </c>
      <c r="D100" s="5" t="s">
        <v>14</v>
      </c>
      <c r="E100" s="5" t="s">
        <v>20</v>
      </c>
      <c r="F100" s="6" t="s">
        <v>15</v>
      </c>
      <c r="G100" s="6" t="s">
        <v>13</v>
      </c>
      <c r="H100" s="16" t="s">
        <v>15</v>
      </c>
      <c r="I100" s="6" t="str">
        <f t="shared" si="4"/>
        <v>mount</v>
      </c>
    </row>
    <row r="101" spans="1:9" x14ac:dyDescent="0.25">
      <c r="A101">
        <v>2</v>
      </c>
      <c r="B101" s="4">
        <v>0.63804398148148145</v>
      </c>
      <c r="D101" s="5" t="s">
        <v>14</v>
      </c>
      <c r="E101" s="5" t="s">
        <v>20</v>
      </c>
      <c r="F101" s="6" t="s">
        <v>15</v>
      </c>
      <c r="G101" s="6" t="s">
        <v>15</v>
      </c>
      <c r="H101" s="16" t="str">
        <f t="shared" si="5"/>
        <v>NA</v>
      </c>
      <c r="I101" s="6" t="str">
        <f t="shared" si="4"/>
        <v>mount</v>
      </c>
    </row>
    <row r="102" spans="1:9" x14ac:dyDescent="0.25">
      <c r="A102">
        <v>2</v>
      </c>
      <c r="B102" s="4">
        <v>0.64038194444444441</v>
      </c>
      <c r="D102" s="5" t="s">
        <v>11</v>
      </c>
      <c r="E102" s="5" t="s">
        <v>12</v>
      </c>
      <c r="F102" s="6" t="s">
        <v>15</v>
      </c>
      <c r="G102" s="6" t="s">
        <v>15</v>
      </c>
      <c r="H102" s="16" t="str">
        <f t="shared" si="5"/>
        <v>NA</v>
      </c>
      <c r="I102" s="6" t="str">
        <f t="shared" si="4"/>
        <v>mount</v>
      </c>
    </row>
    <row r="103" spans="1:9" x14ac:dyDescent="0.25">
      <c r="A103">
        <v>2</v>
      </c>
      <c r="B103" s="4">
        <v>0.6434375</v>
      </c>
      <c r="D103" s="5" t="s">
        <v>11</v>
      </c>
      <c r="E103" s="5" t="s">
        <v>20</v>
      </c>
      <c r="F103" s="6" t="s">
        <v>15</v>
      </c>
      <c r="G103" s="6" t="s">
        <v>15</v>
      </c>
      <c r="H103" s="16" t="str">
        <f t="shared" si="5"/>
        <v>NA</v>
      </c>
      <c r="I103" s="6" t="str">
        <f t="shared" si="4"/>
        <v>mount</v>
      </c>
    </row>
    <row r="104" spans="1:9" x14ac:dyDescent="0.25">
      <c r="A104">
        <v>2</v>
      </c>
      <c r="B104" s="4">
        <v>0.6525347222222222</v>
      </c>
      <c r="D104" s="5" t="s">
        <v>11</v>
      </c>
      <c r="E104" s="5" t="s">
        <v>20</v>
      </c>
      <c r="F104" s="6" t="s">
        <v>15</v>
      </c>
      <c r="G104" s="6" t="s">
        <v>15</v>
      </c>
      <c r="H104" s="16" t="str">
        <f t="shared" si="5"/>
        <v>NA</v>
      </c>
      <c r="I104" s="6" t="str">
        <f t="shared" si="4"/>
        <v>mount</v>
      </c>
    </row>
    <row r="105" spans="1:9" x14ac:dyDescent="0.25">
      <c r="A105">
        <v>2</v>
      </c>
      <c r="B105" s="4">
        <v>0.65581018518518519</v>
      </c>
      <c r="D105" s="5" t="s">
        <v>17</v>
      </c>
      <c r="E105" s="5" t="s">
        <v>21</v>
      </c>
      <c r="F105" s="6" t="s">
        <v>15</v>
      </c>
      <c r="G105" s="6" t="s">
        <v>15</v>
      </c>
      <c r="H105" s="16" t="str">
        <f t="shared" si="5"/>
        <v>NA</v>
      </c>
      <c r="I105" s="6" t="str">
        <f t="shared" si="4"/>
        <v>mount</v>
      </c>
    </row>
    <row r="106" spans="1:9" x14ac:dyDescent="0.25">
      <c r="A106">
        <v>2</v>
      </c>
      <c r="B106" s="4">
        <v>0.65969907407407413</v>
      </c>
      <c r="C106" s="4">
        <v>0.6600462962962963</v>
      </c>
      <c r="D106" s="5" t="s">
        <v>25</v>
      </c>
      <c r="E106" s="5" t="s">
        <v>20</v>
      </c>
      <c r="F106" s="6" t="s">
        <v>13</v>
      </c>
      <c r="G106" s="6" t="str">
        <f t="shared" si="3"/>
        <v>NA</v>
      </c>
      <c r="H106" s="16" t="s">
        <v>13</v>
      </c>
      <c r="I106" s="6" t="str">
        <f t="shared" si="4"/>
        <v>insemination</v>
      </c>
    </row>
    <row r="107" spans="1:9" x14ac:dyDescent="0.25">
      <c r="G107" s="6" t="str">
        <f t="shared" ref="G107:G144" si="6">IF(F107 = "n", "NA", "")</f>
        <v/>
      </c>
      <c r="H107" s="16" t="str">
        <f t="shared" ref="H107:H144" si="7">IF(G107 = "y", "NA", "")</f>
        <v/>
      </c>
    </row>
    <row r="108" spans="1:9" x14ac:dyDescent="0.25">
      <c r="G108" s="6" t="str">
        <f t="shared" si="6"/>
        <v/>
      </c>
      <c r="H108" s="16" t="str">
        <f t="shared" si="7"/>
        <v/>
      </c>
    </row>
    <row r="109" spans="1:9" x14ac:dyDescent="0.25">
      <c r="G109" s="6" t="str">
        <f t="shared" si="6"/>
        <v/>
      </c>
      <c r="H109" s="16" t="str">
        <f t="shared" si="7"/>
        <v/>
      </c>
    </row>
    <row r="110" spans="1:9" x14ac:dyDescent="0.25">
      <c r="G110" s="6" t="str">
        <f t="shared" si="6"/>
        <v/>
      </c>
      <c r="H110" s="16" t="str">
        <f t="shared" si="7"/>
        <v/>
      </c>
    </row>
    <row r="111" spans="1:9" x14ac:dyDescent="0.25">
      <c r="G111" s="6" t="str">
        <f t="shared" si="6"/>
        <v/>
      </c>
      <c r="H111" s="16" t="str">
        <f t="shared" si="7"/>
        <v/>
      </c>
    </row>
    <row r="112" spans="1:9" x14ac:dyDescent="0.25">
      <c r="G112" s="6" t="str">
        <f t="shared" si="6"/>
        <v/>
      </c>
      <c r="H112" s="16" t="str">
        <f t="shared" si="7"/>
        <v/>
      </c>
    </row>
    <row r="113" spans="7:8" x14ac:dyDescent="0.25">
      <c r="G113" s="6" t="str">
        <f t="shared" si="6"/>
        <v/>
      </c>
      <c r="H113" s="16" t="str">
        <f t="shared" si="7"/>
        <v/>
      </c>
    </row>
    <row r="114" spans="7:8" x14ac:dyDescent="0.25">
      <c r="G114" s="6" t="str">
        <f t="shared" si="6"/>
        <v/>
      </c>
      <c r="H114" s="16" t="str">
        <f t="shared" si="7"/>
        <v/>
      </c>
    </row>
    <row r="115" spans="7:8" x14ac:dyDescent="0.25">
      <c r="G115" s="6" t="str">
        <f t="shared" si="6"/>
        <v/>
      </c>
      <c r="H115" s="16" t="str">
        <f t="shared" si="7"/>
        <v/>
      </c>
    </row>
    <row r="116" spans="7:8" x14ac:dyDescent="0.25">
      <c r="G116" s="6" t="str">
        <f t="shared" si="6"/>
        <v/>
      </c>
      <c r="H116" s="16" t="str">
        <f t="shared" si="7"/>
        <v/>
      </c>
    </row>
    <row r="117" spans="7:8" x14ac:dyDescent="0.25">
      <c r="G117" s="6" t="str">
        <f t="shared" si="6"/>
        <v/>
      </c>
      <c r="H117" s="16" t="str">
        <f t="shared" si="7"/>
        <v/>
      </c>
    </row>
    <row r="118" spans="7:8" x14ac:dyDescent="0.25">
      <c r="G118" s="6" t="str">
        <f t="shared" si="6"/>
        <v/>
      </c>
      <c r="H118" s="16" t="str">
        <f t="shared" si="7"/>
        <v/>
      </c>
    </row>
    <row r="119" spans="7:8" x14ac:dyDescent="0.25">
      <c r="G119" s="6" t="str">
        <f t="shared" si="6"/>
        <v/>
      </c>
      <c r="H119" s="16" t="str">
        <f t="shared" si="7"/>
        <v/>
      </c>
    </row>
    <row r="120" spans="7:8" x14ac:dyDescent="0.25">
      <c r="G120" s="6" t="str">
        <f t="shared" si="6"/>
        <v/>
      </c>
      <c r="H120" s="16" t="str">
        <f t="shared" si="7"/>
        <v/>
      </c>
    </row>
    <row r="121" spans="7:8" x14ac:dyDescent="0.25">
      <c r="G121" s="6" t="str">
        <f t="shared" si="6"/>
        <v/>
      </c>
      <c r="H121" s="16" t="str">
        <f t="shared" si="7"/>
        <v/>
      </c>
    </row>
    <row r="122" spans="7:8" x14ac:dyDescent="0.25">
      <c r="G122" s="6" t="str">
        <f t="shared" si="6"/>
        <v/>
      </c>
      <c r="H122" s="16" t="str">
        <f t="shared" si="7"/>
        <v/>
      </c>
    </row>
    <row r="123" spans="7:8" x14ac:dyDescent="0.25">
      <c r="G123" s="6" t="str">
        <f t="shared" si="6"/>
        <v/>
      </c>
      <c r="H123" s="16" t="str">
        <f t="shared" si="7"/>
        <v/>
      </c>
    </row>
    <row r="124" spans="7:8" x14ac:dyDescent="0.25">
      <c r="G124" s="6" t="str">
        <f t="shared" si="6"/>
        <v/>
      </c>
      <c r="H124" s="16" t="str">
        <f t="shared" si="7"/>
        <v/>
      </c>
    </row>
    <row r="125" spans="7:8" x14ac:dyDescent="0.25">
      <c r="G125" s="6" t="str">
        <f t="shared" si="6"/>
        <v/>
      </c>
      <c r="H125" s="16" t="str">
        <f t="shared" si="7"/>
        <v/>
      </c>
    </row>
    <row r="126" spans="7:8" x14ac:dyDescent="0.25">
      <c r="G126" s="6" t="str">
        <f t="shared" si="6"/>
        <v/>
      </c>
      <c r="H126" s="16" t="str">
        <f t="shared" si="7"/>
        <v/>
      </c>
    </row>
    <row r="127" spans="7:8" x14ac:dyDescent="0.25">
      <c r="G127" s="6" t="str">
        <f t="shared" si="6"/>
        <v/>
      </c>
      <c r="H127" s="16" t="str">
        <f t="shared" si="7"/>
        <v/>
      </c>
    </row>
    <row r="128" spans="7:8" x14ac:dyDescent="0.25">
      <c r="G128" s="6" t="str">
        <f t="shared" si="6"/>
        <v/>
      </c>
      <c r="H128" s="16" t="str">
        <f t="shared" si="7"/>
        <v/>
      </c>
    </row>
    <row r="129" spans="7:8" x14ac:dyDescent="0.25">
      <c r="G129" s="6" t="str">
        <f t="shared" si="6"/>
        <v/>
      </c>
      <c r="H129" s="16" t="str">
        <f t="shared" si="7"/>
        <v/>
      </c>
    </row>
    <row r="130" spans="7:8" x14ac:dyDescent="0.25">
      <c r="G130" s="6" t="str">
        <f t="shared" si="6"/>
        <v/>
      </c>
      <c r="H130" s="16" t="str">
        <f t="shared" si="7"/>
        <v/>
      </c>
    </row>
    <row r="131" spans="7:8" x14ac:dyDescent="0.25">
      <c r="G131" s="6" t="str">
        <f t="shared" si="6"/>
        <v/>
      </c>
      <c r="H131" s="16" t="str">
        <f t="shared" si="7"/>
        <v/>
      </c>
    </row>
    <row r="132" spans="7:8" x14ac:dyDescent="0.25">
      <c r="G132" s="6" t="str">
        <f t="shared" si="6"/>
        <v/>
      </c>
      <c r="H132" s="16" t="str">
        <f t="shared" si="7"/>
        <v/>
      </c>
    </row>
    <row r="133" spans="7:8" x14ac:dyDescent="0.25">
      <c r="G133" s="6" t="str">
        <f t="shared" si="6"/>
        <v/>
      </c>
      <c r="H133" s="16" t="str">
        <f t="shared" si="7"/>
        <v/>
      </c>
    </row>
    <row r="134" spans="7:8" x14ac:dyDescent="0.25">
      <c r="G134" s="6" t="str">
        <f t="shared" si="6"/>
        <v/>
      </c>
      <c r="H134" s="16" t="str">
        <f t="shared" si="7"/>
        <v/>
      </c>
    </row>
    <row r="135" spans="7:8" x14ac:dyDescent="0.25">
      <c r="G135" s="6" t="str">
        <f t="shared" si="6"/>
        <v/>
      </c>
      <c r="H135" s="16" t="str">
        <f t="shared" si="7"/>
        <v/>
      </c>
    </row>
    <row r="136" spans="7:8" x14ac:dyDescent="0.25">
      <c r="G136" s="6" t="str">
        <f t="shared" si="6"/>
        <v/>
      </c>
      <c r="H136" s="16" t="str">
        <f t="shared" si="7"/>
        <v/>
      </c>
    </row>
    <row r="137" spans="7:8" x14ac:dyDescent="0.25">
      <c r="G137" s="6" t="str">
        <f t="shared" si="6"/>
        <v/>
      </c>
      <c r="H137" s="16" t="str">
        <f t="shared" si="7"/>
        <v/>
      </c>
    </row>
    <row r="138" spans="7:8" x14ac:dyDescent="0.25">
      <c r="G138" s="6" t="str">
        <f t="shared" si="6"/>
        <v/>
      </c>
      <c r="H138" s="16" t="str">
        <f t="shared" si="7"/>
        <v/>
      </c>
    </row>
    <row r="139" spans="7:8" x14ac:dyDescent="0.25">
      <c r="G139" s="6" t="str">
        <f t="shared" si="6"/>
        <v/>
      </c>
      <c r="H139" s="16" t="str">
        <f t="shared" si="7"/>
        <v/>
      </c>
    </row>
    <row r="140" spans="7:8" x14ac:dyDescent="0.25">
      <c r="G140" s="6" t="str">
        <f t="shared" si="6"/>
        <v/>
      </c>
      <c r="H140" s="16" t="str">
        <f t="shared" si="7"/>
        <v/>
      </c>
    </row>
    <row r="141" spans="7:8" x14ac:dyDescent="0.25">
      <c r="G141" s="6" t="str">
        <f t="shared" si="6"/>
        <v/>
      </c>
      <c r="H141" s="16" t="str">
        <f t="shared" si="7"/>
        <v/>
      </c>
    </row>
    <row r="142" spans="7:8" x14ac:dyDescent="0.25">
      <c r="G142" s="6" t="str">
        <f t="shared" si="6"/>
        <v/>
      </c>
      <c r="H142" s="16" t="str">
        <f t="shared" si="7"/>
        <v/>
      </c>
    </row>
    <row r="143" spans="7:8" x14ac:dyDescent="0.25">
      <c r="G143" s="6" t="str">
        <f t="shared" si="6"/>
        <v/>
      </c>
      <c r="H143" s="16" t="str">
        <f t="shared" si="7"/>
        <v/>
      </c>
    </row>
    <row r="144" spans="7:8" x14ac:dyDescent="0.25">
      <c r="G144" s="6" t="str">
        <f t="shared" si="6"/>
        <v/>
      </c>
      <c r="H144" s="16" t="str">
        <f t="shared" si="7"/>
        <v/>
      </c>
    </row>
    <row r="145" spans="7:8" x14ac:dyDescent="0.25">
      <c r="G145" s="6" t="str">
        <f t="shared" ref="G145:G208" si="8">IF(F145 = "n", "NA", "")</f>
        <v/>
      </c>
      <c r="H145" s="16" t="str">
        <f t="shared" ref="H145:H208" si="9">IF(G145 = "y", "NA", "")</f>
        <v/>
      </c>
    </row>
    <row r="146" spans="7:8" x14ac:dyDescent="0.25">
      <c r="G146" s="6" t="str">
        <f t="shared" si="8"/>
        <v/>
      </c>
      <c r="H146" s="16" t="str">
        <f t="shared" si="9"/>
        <v/>
      </c>
    </row>
    <row r="147" spans="7:8" x14ac:dyDescent="0.25">
      <c r="G147" s="6" t="str">
        <f t="shared" si="8"/>
        <v/>
      </c>
      <c r="H147" s="16" t="str">
        <f t="shared" si="9"/>
        <v/>
      </c>
    </row>
    <row r="148" spans="7:8" x14ac:dyDescent="0.25">
      <c r="G148" s="6" t="str">
        <f t="shared" si="8"/>
        <v/>
      </c>
      <c r="H148" s="16" t="str">
        <f t="shared" si="9"/>
        <v/>
      </c>
    </row>
    <row r="149" spans="7:8" x14ac:dyDescent="0.25">
      <c r="G149" s="6" t="str">
        <f t="shared" si="8"/>
        <v/>
      </c>
      <c r="H149" s="16" t="str">
        <f t="shared" si="9"/>
        <v/>
      </c>
    </row>
    <row r="150" spans="7:8" x14ac:dyDescent="0.25">
      <c r="G150" s="6" t="str">
        <f t="shared" si="8"/>
        <v/>
      </c>
      <c r="H150" s="16" t="str">
        <f t="shared" si="9"/>
        <v/>
      </c>
    </row>
    <row r="151" spans="7:8" x14ac:dyDescent="0.25">
      <c r="G151" s="6" t="str">
        <f t="shared" si="8"/>
        <v/>
      </c>
      <c r="H151" s="16" t="str">
        <f t="shared" si="9"/>
        <v/>
      </c>
    </row>
    <row r="152" spans="7:8" x14ac:dyDescent="0.25">
      <c r="G152" s="6" t="str">
        <f t="shared" si="8"/>
        <v/>
      </c>
      <c r="H152" s="16" t="str">
        <f t="shared" si="9"/>
        <v/>
      </c>
    </row>
    <row r="153" spans="7:8" x14ac:dyDescent="0.25">
      <c r="G153" s="6" t="str">
        <f t="shared" si="8"/>
        <v/>
      </c>
      <c r="H153" s="16" t="str">
        <f t="shared" si="9"/>
        <v/>
      </c>
    </row>
    <row r="154" spans="7:8" x14ac:dyDescent="0.25">
      <c r="G154" s="6" t="str">
        <f t="shared" si="8"/>
        <v/>
      </c>
      <c r="H154" s="16" t="str">
        <f t="shared" si="9"/>
        <v/>
      </c>
    </row>
    <row r="155" spans="7:8" x14ac:dyDescent="0.25">
      <c r="G155" s="6" t="str">
        <f t="shared" si="8"/>
        <v/>
      </c>
      <c r="H155" s="16" t="str">
        <f t="shared" si="9"/>
        <v/>
      </c>
    </row>
    <row r="156" spans="7:8" x14ac:dyDescent="0.25">
      <c r="G156" s="6" t="str">
        <f t="shared" si="8"/>
        <v/>
      </c>
      <c r="H156" s="16" t="str">
        <f t="shared" si="9"/>
        <v/>
      </c>
    </row>
    <row r="157" spans="7:8" x14ac:dyDescent="0.25">
      <c r="G157" s="6" t="str">
        <f t="shared" si="8"/>
        <v/>
      </c>
      <c r="H157" s="16" t="str">
        <f t="shared" si="9"/>
        <v/>
      </c>
    </row>
    <row r="158" spans="7:8" x14ac:dyDescent="0.25">
      <c r="G158" s="6" t="str">
        <f t="shared" si="8"/>
        <v/>
      </c>
      <c r="H158" s="16" t="str">
        <f t="shared" si="9"/>
        <v/>
      </c>
    </row>
    <row r="159" spans="7:8" x14ac:dyDescent="0.25">
      <c r="G159" s="6" t="str">
        <f t="shared" si="8"/>
        <v/>
      </c>
      <c r="H159" s="16" t="str">
        <f t="shared" si="9"/>
        <v/>
      </c>
    </row>
    <row r="160" spans="7:8" x14ac:dyDescent="0.25">
      <c r="G160" s="6" t="str">
        <f t="shared" si="8"/>
        <v/>
      </c>
      <c r="H160" s="16" t="str">
        <f t="shared" si="9"/>
        <v/>
      </c>
    </row>
    <row r="161" spans="7:8" x14ac:dyDescent="0.25">
      <c r="G161" s="6" t="str">
        <f t="shared" si="8"/>
        <v/>
      </c>
      <c r="H161" s="16" t="str">
        <f t="shared" si="9"/>
        <v/>
      </c>
    </row>
    <row r="162" spans="7:8" x14ac:dyDescent="0.25">
      <c r="G162" s="6" t="str">
        <f t="shared" si="8"/>
        <v/>
      </c>
      <c r="H162" s="16" t="str">
        <f t="shared" si="9"/>
        <v/>
      </c>
    </row>
    <row r="163" spans="7:8" x14ac:dyDescent="0.25">
      <c r="G163" s="6" t="str">
        <f t="shared" si="8"/>
        <v/>
      </c>
      <c r="H163" s="16" t="str">
        <f t="shared" si="9"/>
        <v/>
      </c>
    </row>
    <row r="164" spans="7:8" x14ac:dyDescent="0.25">
      <c r="G164" s="6" t="str">
        <f t="shared" si="8"/>
        <v/>
      </c>
      <c r="H164" s="16" t="str">
        <f t="shared" si="9"/>
        <v/>
      </c>
    </row>
    <row r="165" spans="7:8" x14ac:dyDescent="0.25">
      <c r="G165" s="6" t="str">
        <f t="shared" si="8"/>
        <v/>
      </c>
      <c r="H165" s="16" t="str">
        <f t="shared" si="9"/>
        <v/>
      </c>
    </row>
    <row r="166" spans="7:8" x14ac:dyDescent="0.25">
      <c r="G166" s="6" t="str">
        <f t="shared" si="8"/>
        <v/>
      </c>
      <c r="H166" s="16" t="str">
        <f t="shared" si="9"/>
        <v/>
      </c>
    </row>
    <row r="167" spans="7:8" x14ac:dyDescent="0.25">
      <c r="G167" s="6" t="str">
        <f t="shared" si="8"/>
        <v/>
      </c>
      <c r="H167" s="16" t="str">
        <f t="shared" si="9"/>
        <v/>
      </c>
    </row>
    <row r="168" spans="7:8" x14ac:dyDescent="0.25">
      <c r="G168" s="6" t="str">
        <f t="shared" si="8"/>
        <v/>
      </c>
      <c r="H168" s="16" t="str">
        <f t="shared" si="9"/>
        <v/>
      </c>
    </row>
    <row r="169" spans="7:8" x14ac:dyDescent="0.25">
      <c r="G169" s="6" t="str">
        <f t="shared" si="8"/>
        <v/>
      </c>
      <c r="H169" s="16" t="str">
        <f t="shared" si="9"/>
        <v/>
      </c>
    </row>
    <row r="170" spans="7:8" x14ac:dyDescent="0.25">
      <c r="G170" s="6" t="str">
        <f t="shared" si="8"/>
        <v/>
      </c>
      <c r="H170" s="16" t="str">
        <f t="shared" si="9"/>
        <v/>
      </c>
    </row>
    <row r="171" spans="7:8" x14ac:dyDescent="0.25">
      <c r="G171" s="6" t="str">
        <f t="shared" si="8"/>
        <v/>
      </c>
      <c r="H171" s="16" t="str">
        <f t="shared" si="9"/>
        <v/>
      </c>
    </row>
    <row r="172" spans="7:8" x14ac:dyDescent="0.25">
      <c r="G172" s="6" t="str">
        <f t="shared" si="8"/>
        <v/>
      </c>
      <c r="H172" s="16" t="str">
        <f t="shared" si="9"/>
        <v/>
      </c>
    </row>
    <row r="173" spans="7:8" x14ac:dyDescent="0.25">
      <c r="G173" s="6" t="str">
        <f t="shared" si="8"/>
        <v/>
      </c>
      <c r="H173" s="16" t="str">
        <f t="shared" si="9"/>
        <v/>
      </c>
    </row>
    <row r="174" spans="7:8" x14ac:dyDescent="0.25">
      <c r="G174" s="6" t="str">
        <f t="shared" si="8"/>
        <v/>
      </c>
      <c r="H174" s="16" t="str">
        <f t="shared" si="9"/>
        <v/>
      </c>
    </row>
    <row r="175" spans="7:8" x14ac:dyDescent="0.25">
      <c r="G175" s="6" t="str">
        <f t="shared" si="8"/>
        <v/>
      </c>
      <c r="H175" s="16" t="str">
        <f t="shared" si="9"/>
        <v/>
      </c>
    </row>
    <row r="176" spans="7:8" x14ac:dyDescent="0.25">
      <c r="G176" s="6" t="str">
        <f t="shared" si="8"/>
        <v/>
      </c>
      <c r="H176" s="16" t="str">
        <f t="shared" si="9"/>
        <v/>
      </c>
    </row>
    <row r="177" spans="7:8" x14ac:dyDescent="0.25">
      <c r="G177" s="6" t="str">
        <f t="shared" si="8"/>
        <v/>
      </c>
      <c r="H177" s="16" t="str">
        <f t="shared" si="9"/>
        <v/>
      </c>
    </row>
    <row r="178" spans="7:8" x14ac:dyDescent="0.25">
      <c r="G178" s="6" t="str">
        <f t="shared" si="8"/>
        <v/>
      </c>
      <c r="H178" s="16" t="str">
        <f t="shared" si="9"/>
        <v/>
      </c>
    </row>
    <row r="179" spans="7:8" x14ac:dyDescent="0.25">
      <c r="G179" s="6" t="str">
        <f t="shared" si="8"/>
        <v/>
      </c>
      <c r="H179" s="16" t="str">
        <f t="shared" si="9"/>
        <v/>
      </c>
    </row>
    <row r="180" spans="7:8" x14ac:dyDescent="0.25">
      <c r="G180" s="6" t="str">
        <f t="shared" si="8"/>
        <v/>
      </c>
      <c r="H180" s="16" t="str">
        <f t="shared" si="9"/>
        <v/>
      </c>
    </row>
    <row r="181" spans="7:8" x14ac:dyDescent="0.25">
      <c r="G181" s="6" t="str">
        <f t="shared" si="8"/>
        <v/>
      </c>
      <c r="H181" s="16" t="str">
        <f t="shared" si="9"/>
        <v/>
      </c>
    </row>
    <row r="182" spans="7:8" x14ac:dyDescent="0.25">
      <c r="G182" s="6" t="str">
        <f t="shared" si="8"/>
        <v/>
      </c>
      <c r="H182" s="16" t="str">
        <f t="shared" si="9"/>
        <v/>
      </c>
    </row>
    <row r="183" spans="7:8" x14ac:dyDescent="0.25">
      <c r="G183" s="6" t="str">
        <f t="shared" si="8"/>
        <v/>
      </c>
      <c r="H183" s="16" t="str">
        <f t="shared" si="9"/>
        <v/>
      </c>
    </row>
    <row r="184" spans="7:8" x14ac:dyDescent="0.25">
      <c r="G184" s="6" t="str">
        <f t="shared" si="8"/>
        <v/>
      </c>
      <c r="H184" s="16" t="str">
        <f t="shared" si="9"/>
        <v/>
      </c>
    </row>
    <row r="185" spans="7:8" x14ac:dyDescent="0.25">
      <c r="G185" s="6" t="str">
        <f t="shared" si="8"/>
        <v/>
      </c>
      <c r="H185" s="16" t="str">
        <f t="shared" si="9"/>
        <v/>
      </c>
    </row>
    <row r="186" spans="7:8" x14ac:dyDescent="0.25">
      <c r="G186" s="6" t="str">
        <f t="shared" si="8"/>
        <v/>
      </c>
      <c r="H186" s="16" t="str">
        <f t="shared" si="9"/>
        <v/>
      </c>
    </row>
    <row r="187" spans="7:8" x14ac:dyDescent="0.25">
      <c r="G187" s="6" t="str">
        <f t="shared" si="8"/>
        <v/>
      </c>
      <c r="H187" s="16" t="str">
        <f t="shared" si="9"/>
        <v/>
      </c>
    </row>
    <row r="188" spans="7:8" x14ac:dyDescent="0.25">
      <c r="G188" s="6" t="str">
        <f t="shared" si="8"/>
        <v/>
      </c>
      <c r="H188" s="16" t="str">
        <f t="shared" si="9"/>
        <v/>
      </c>
    </row>
    <row r="189" spans="7:8" x14ac:dyDescent="0.25">
      <c r="G189" s="6" t="str">
        <f t="shared" si="8"/>
        <v/>
      </c>
      <c r="H189" s="16" t="str">
        <f t="shared" si="9"/>
        <v/>
      </c>
    </row>
    <row r="190" spans="7:8" x14ac:dyDescent="0.25">
      <c r="G190" s="6" t="str">
        <f t="shared" si="8"/>
        <v/>
      </c>
      <c r="H190" s="16" t="str">
        <f t="shared" si="9"/>
        <v/>
      </c>
    </row>
    <row r="191" spans="7:8" x14ac:dyDescent="0.25">
      <c r="G191" s="6" t="str">
        <f t="shared" si="8"/>
        <v/>
      </c>
      <c r="H191" s="16" t="str">
        <f t="shared" si="9"/>
        <v/>
      </c>
    </row>
    <row r="192" spans="7:8" x14ac:dyDescent="0.25">
      <c r="G192" s="6" t="str">
        <f t="shared" si="8"/>
        <v/>
      </c>
      <c r="H192" s="16" t="str">
        <f t="shared" si="9"/>
        <v/>
      </c>
    </row>
    <row r="193" spans="7:8" x14ac:dyDescent="0.25">
      <c r="G193" s="6" t="str">
        <f t="shared" si="8"/>
        <v/>
      </c>
      <c r="H193" s="16" t="str">
        <f t="shared" si="9"/>
        <v/>
      </c>
    </row>
    <row r="194" spans="7:8" x14ac:dyDescent="0.25">
      <c r="G194" s="6" t="str">
        <f t="shared" si="8"/>
        <v/>
      </c>
      <c r="H194" s="16" t="str">
        <f t="shared" si="9"/>
        <v/>
      </c>
    </row>
    <row r="195" spans="7:8" x14ac:dyDescent="0.25">
      <c r="G195" s="6" t="str">
        <f t="shared" si="8"/>
        <v/>
      </c>
      <c r="H195" s="16" t="str">
        <f t="shared" si="9"/>
        <v/>
      </c>
    </row>
    <row r="196" spans="7:8" x14ac:dyDescent="0.25">
      <c r="G196" s="6" t="str">
        <f t="shared" si="8"/>
        <v/>
      </c>
      <c r="H196" s="16" t="str">
        <f t="shared" si="9"/>
        <v/>
      </c>
    </row>
    <row r="197" spans="7:8" x14ac:dyDescent="0.25">
      <c r="G197" s="6" t="str">
        <f t="shared" si="8"/>
        <v/>
      </c>
      <c r="H197" s="16" t="str">
        <f t="shared" si="9"/>
        <v/>
      </c>
    </row>
    <row r="198" spans="7:8" x14ac:dyDescent="0.25">
      <c r="G198" s="6" t="str">
        <f t="shared" si="8"/>
        <v/>
      </c>
      <c r="H198" s="16" t="str">
        <f t="shared" si="9"/>
        <v/>
      </c>
    </row>
    <row r="199" spans="7:8" x14ac:dyDescent="0.25">
      <c r="G199" s="6" t="str">
        <f t="shared" si="8"/>
        <v/>
      </c>
      <c r="H199" s="16" t="str">
        <f t="shared" si="9"/>
        <v/>
      </c>
    </row>
    <row r="200" spans="7:8" x14ac:dyDescent="0.25">
      <c r="G200" s="6" t="str">
        <f t="shared" si="8"/>
        <v/>
      </c>
      <c r="H200" s="16" t="str">
        <f t="shared" si="9"/>
        <v/>
      </c>
    </row>
    <row r="201" spans="7:8" x14ac:dyDescent="0.25">
      <c r="G201" s="6" t="str">
        <f t="shared" si="8"/>
        <v/>
      </c>
      <c r="H201" s="16" t="str">
        <f t="shared" si="9"/>
        <v/>
      </c>
    </row>
    <row r="202" spans="7:8" x14ac:dyDescent="0.25">
      <c r="G202" s="6" t="str">
        <f t="shared" si="8"/>
        <v/>
      </c>
      <c r="H202" s="16" t="str">
        <f t="shared" si="9"/>
        <v/>
      </c>
    </row>
    <row r="203" spans="7:8" x14ac:dyDescent="0.25">
      <c r="G203" s="6" t="str">
        <f t="shared" si="8"/>
        <v/>
      </c>
      <c r="H203" s="16" t="str">
        <f t="shared" si="9"/>
        <v/>
      </c>
    </row>
    <row r="204" spans="7:8" x14ac:dyDescent="0.25">
      <c r="G204" s="6" t="str">
        <f t="shared" si="8"/>
        <v/>
      </c>
      <c r="H204" s="16" t="str">
        <f t="shared" si="9"/>
        <v/>
      </c>
    </row>
    <row r="205" spans="7:8" x14ac:dyDescent="0.25">
      <c r="G205" s="6" t="str">
        <f t="shared" si="8"/>
        <v/>
      </c>
      <c r="H205" s="16" t="str">
        <f t="shared" si="9"/>
        <v/>
      </c>
    </row>
    <row r="206" spans="7:8" x14ac:dyDescent="0.25">
      <c r="G206" s="6" t="str">
        <f t="shared" si="8"/>
        <v/>
      </c>
      <c r="H206" s="16" t="str">
        <f t="shared" si="9"/>
        <v/>
      </c>
    </row>
    <row r="207" spans="7:8" x14ac:dyDescent="0.25">
      <c r="G207" s="6" t="str">
        <f t="shared" si="8"/>
        <v/>
      </c>
      <c r="H207" s="16" t="str">
        <f t="shared" si="9"/>
        <v/>
      </c>
    </row>
    <row r="208" spans="7:8" x14ac:dyDescent="0.25">
      <c r="G208" s="6" t="str">
        <f t="shared" si="8"/>
        <v/>
      </c>
      <c r="H208" s="16" t="str">
        <f t="shared" si="9"/>
        <v/>
      </c>
    </row>
    <row r="209" spans="7:8" x14ac:dyDescent="0.25">
      <c r="G209" s="6" t="str">
        <f t="shared" ref="G209:G272" si="10">IF(F209 = "n", "NA", "")</f>
        <v/>
      </c>
      <c r="H209" s="16" t="str">
        <f t="shared" ref="H209:H272" si="11">IF(G209 = "y", "NA", "")</f>
        <v/>
      </c>
    </row>
    <row r="210" spans="7:8" x14ac:dyDescent="0.25">
      <c r="G210" s="6" t="str">
        <f t="shared" si="10"/>
        <v/>
      </c>
      <c r="H210" s="16" t="str">
        <f t="shared" si="11"/>
        <v/>
      </c>
    </row>
    <row r="211" spans="7:8" x14ac:dyDescent="0.25">
      <c r="G211" s="6" t="str">
        <f t="shared" si="10"/>
        <v/>
      </c>
      <c r="H211" s="16" t="str">
        <f t="shared" si="11"/>
        <v/>
      </c>
    </row>
    <row r="212" spans="7:8" x14ac:dyDescent="0.25">
      <c r="G212" s="6" t="str">
        <f t="shared" si="10"/>
        <v/>
      </c>
      <c r="H212" s="16" t="str">
        <f t="shared" si="11"/>
        <v/>
      </c>
    </row>
    <row r="213" spans="7:8" x14ac:dyDescent="0.25">
      <c r="G213" s="6" t="str">
        <f t="shared" si="10"/>
        <v/>
      </c>
      <c r="H213" s="16" t="str">
        <f t="shared" si="11"/>
        <v/>
      </c>
    </row>
    <row r="214" spans="7:8" x14ac:dyDescent="0.25">
      <c r="G214" s="6" t="str">
        <f t="shared" si="10"/>
        <v/>
      </c>
      <c r="H214" s="16" t="str">
        <f t="shared" si="11"/>
        <v/>
      </c>
    </row>
    <row r="215" spans="7:8" x14ac:dyDescent="0.25">
      <c r="G215" s="6" t="str">
        <f t="shared" si="10"/>
        <v/>
      </c>
      <c r="H215" s="16" t="str">
        <f t="shared" si="11"/>
        <v/>
      </c>
    </row>
    <row r="216" spans="7:8" x14ac:dyDescent="0.25">
      <c r="G216" s="6" t="str">
        <f t="shared" si="10"/>
        <v/>
      </c>
      <c r="H216" s="16" t="str">
        <f t="shared" si="11"/>
        <v/>
      </c>
    </row>
    <row r="217" spans="7:8" x14ac:dyDescent="0.25">
      <c r="G217" s="6" t="str">
        <f t="shared" si="10"/>
        <v/>
      </c>
      <c r="H217" s="16" t="str">
        <f t="shared" si="11"/>
        <v/>
      </c>
    </row>
    <row r="218" spans="7:8" x14ac:dyDescent="0.25">
      <c r="G218" s="6" t="str">
        <f t="shared" si="10"/>
        <v/>
      </c>
      <c r="H218" s="16" t="str">
        <f t="shared" si="11"/>
        <v/>
      </c>
    </row>
    <row r="219" spans="7:8" x14ac:dyDescent="0.25">
      <c r="G219" s="6" t="str">
        <f t="shared" si="10"/>
        <v/>
      </c>
      <c r="H219" s="16" t="str">
        <f t="shared" si="11"/>
        <v/>
      </c>
    </row>
    <row r="220" spans="7:8" x14ac:dyDescent="0.25">
      <c r="G220" s="6" t="str">
        <f t="shared" si="10"/>
        <v/>
      </c>
      <c r="H220" s="16" t="str">
        <f t="shared" si="11"/>
        <v/>
      </c>
    </row>
    <row r="221" spans="7:8" x14ac:dyDescent="0.25">
      <c r="G221" s="6" t="str">
        <f t="shared" si="10"/>
        <v/>
      </c>
      <c r="H221" s="16" t="str">
        <f t="shared" si="11"/>
        <v/>
      </c>
    </row>
    <row r="222" spans="7:8" x14ac:dyDescent="0.25">
      <c r="G222" s="6" t="str">
        <f t="shared" si="10"/>
        <v/>
      </c>
      <c r="H222" s="16" t="str">
        <f t="shared" si="11"/>
        <v/>
      </c>
    </row>
    <row r="223" spans="7:8" x14ac:dyDescent="0.25">
      <c r="G223" s="6" t="str">
        <f t="shared" si="10"/>
        <v/>
      </c>
      <c r="H223" s="16" t="str">
        <f t="shared" si="11"/>
        <v/>
      </c>
    </row>
    <row r="224" spans="7:8" x14ac:dyDescent="0.25">
      <c r="G224" s="6" t="str">
        <f t="shared" si="10"/>
        <v/>
      </c>
      <c r="H224" s="16" t="str">
        <f t="shared" si="11"/>
        <v/>
      </c>
    </row>
    <row r="225" spans="7:8" x14ac:dyDescent="0.25">
      <c r="G225" s="6" t="str">
        <f t="shared" si="10"/>
        <v/>
      </c>
      <c r="H225" s="16" t="str">
        <f t="shared" si="11"/>
        <v/>
      </c>
    </row>
    <row r="226" spans="7:8" x14ac:dyDescent="0.25">
      <c r="G226" s="6" t="str">
        <f t="shared" si="10"/>
        <v/>
      </c>
      <c r="H226" s="16" t="str">
        <f t="shared" si="11"/>
        <v/>
      </c>
    </row>
    <row r="227" spans="7:8" x14ac:dyDescent="0.25">
      <c r="G227" s="6" t="str">
        <f t="shared" si="10"/>
        <v/>
      </c>
      <c r="H227" s="16" t="str">
        <f t="shared" si="11"/>
        <v/>
      </c>
    </row>
    <row r="228" spans="7:8" x14ac:dyDescent="0.25">
      <c r="G228" s="6" t="str">
        <f t="shared" si="10"/>
        <v/>
      </c>
      <c r="H228" s="16" t="str">
        <f t="shared" si="11"/>
        <v/>
      </c>
    </row>
    <row r="229" spans="7:8" x14ac:dyDescent="0.25">
      <c r="G229" s="6" t="str">
        <f t="shared" si="10"/>
        <v/>
      </c>
      <c r="H229" s="16" t="str">
        <f t="shared" si="11"/>
        <v/>
      </c>
    </row>
    <row r="230" spans="7:8" x14ac:dyDescent="0.25">
      <c r="G230" s="6" t="str">
        <f t="shared" si="10"/>
        <v/>
      </c>
      <c r="H230" s="16" t="str">
        <f t="shared" si="11"/>
        <v/>
      </c>
    </row>
    <row r="231" spans="7:8" x14ac:dyDescent="0.25">
      <c r="G231" s="6" t="str">
        <f t="shared" si="10"/>
        <v/>
      </c>
      <c r="H231" s="16" t="str">
        <f t="shared" si="11"/>
        <v/>
      </c>
    </row>
    <row r="232" spans="7:8" x14ac:dyDescent="0.25">
      <c r="G232" s="6" t="str">
        <f t="shared" si="10"/>
        <v/>
      </c>
      <c r="H232" s="16" t="str">
        <f t="shared" si="11"/>
        <v/>
      </c>
    </row>
    <row r="233" spans="7:8" x14ac:dyDescent="0.25">
      <c r="G233" s="6" t="str">
        <f t="shared" si="10"/>
        <v/>
      </c>
      <c r="H233" s="16" t="str">
        <f t="shared" si="11"/>
        <v/>
      </c>
    </row>
    <row r="234" spans="7:8" x14ac:dyDescent="0.25">
      <c r="G234" s="6" t="str">
        <f t="shared" si="10"/>
        <v/>
      </c>
      <c r="H234" s="16" t="str">
        <f t="shared" si="11"/>
        <v/>
      </c>
    </row>
    <row r="235" spans="7:8" x14ac:dyDescent="0.25">
      <c r="G235" s="6" t="str">
        <f t="shared" si="10"/>
        <v/>
      </c>
      <c r="H235" s="16" t="str">
        <f t="shared" si="11"/>
        <v/>
      </c>
    </row>
    <row r="236" spans="7:8" x14ac:dyDescent="0.25">
      <c r="G236" s="6" t="str">
        <f t="shared" si="10"/>
        <v/>
      </c>
      <c r="H236" s="16" t="str">
        <f t="shared" si="11"/>
        <v/>
      </c>
    </row>
    <row r="237" spans="7:8" x14ac:dyDescent="0.25">
      <c r="G237" s="6" t="str">
        <f t="shared" si="10"/>
        <v/>
      </c>
      <c r="H237" s="16" t="str">
        <f t="shared" si="11"/>
        <v/>
      </c>
    </row>
    <row r="238" spans="7:8" x14ac:dyDescent="0.25">
      <c r="G238" s="6" t="str">
        <f t="shared" si="10"/>
        <v/>
      </c>
      <c r="H238" s="16" t="str">
        <f t="shared" si="11"/>
        <v/>
      </c>
    </row>
    <row r="239" spans="7:8" x14ac:dyDescent="0.25">
      <c r="G239" s="6" t="str">
        <f t="shared" si="10"/>
        <v/>
      </c>
      <c r="H239" s="16" t="str">
        <f t="shared" si="11"/>
        <v/>
      </c>
    </row>
    <row r="240" spans="7:8" x14ac:dyDescent="0.25">
      <c r="G240" s="6" t="str">
        <f t="shared" si="10"/>
        <v/>
      </c>
      <c r="H240" s="16" t="str">
        <f t="shared" si="11"/>
        <v/>
      </c>
    </row>
    <row r="241" spans="7:8" x14ac:dyDescent="0.25">
      <c r="G241" s="6" t="str">
        <f t="shared" si="10"/>
        <v/>
      </c>
      <c r="H241" s="16" t="str">
        <f t="shared" si="11"/>
        <v/>
      </c>
    </row>
    <row r="242" spans="7:8" x14ac:dyDescent="0.25">
      <c r="G242" s="6" t="str">
        <f t="shared" si="10"/>
        <v/>
      </c>
      <c r="H242" s="16" t="str">
        <f t="shared" si="11"/>
        <v/>
      </c>
    </row>
    <row r="243" spans="7:8" x14ac:dyDescent="0.25">
      <c r="G243" s="6" t="str">
        <f t="shared" si="10"/>
        <v/>
      </c>
      <c r="H243" s="16" t="str">
        <f t="shared" si="11"/>
        <v/>
      </c>
    </row>
    <row r="244" spans="7:8" x14ac:dyDescent="0.25">
      <c r="G244" s="6" t="str">
        <f t="shared" si="10"/>
        <v/>
      </c>
      <c r="H244" s="16" t="str">
        <f t="shared" si="11"/>
        <v/>
      </c>
    </row>
    <row r="245" spans="7:8" x14ac:dyDescent="0.25">
      <c r="G245" s="6" t="str">
        <f t="shared" si="10"/>
        <v/>
      </c>
      <c r="H245" s="16" t="str">
        <f t="shared" si="11"/>
        <v/>
      </c>
    </row>
    <row r="246" spans="7:8" x14ac:dyDescent="0.25">
      <c r="G246" s="6" t="str">
        <f t="shared" si="10"/>
        <v/>
      </c>
      <c r="H246" s="16" t="str">
        <f t="shared" si="11"/>
        <v/>
      </c>
    </row>
    <row r="247" spans="7:8" x14ac:dyDescent="0.25">
      <c r="G247" s="6" t="str">
        <f t="shared" si="10"/>
        <v/>
      </c>
      <c r="H247" s="16" t="str">
        <f t="shared" si="11"/>
        <v/>
      </c>
    </row>
    <row r="248" spans="7:8" x14ac:dyDescent="0.25">
      <c r="G248" s="6" t="str">
        <f t="shared" si="10"/>
        <v/>
      </c>
      <c r="H248" s="16" t="str">
        <f t="shared" si="11"/>
        <v/>
      </c>
    </row>
    <row r="249" spans="7:8" x14ac:dyDescent="0.25">
      <c r="G249" s="6" t="str">
        <f t="shared" si="10"/>
        <v/>
      </c>
      <c r="H249" s="16" t="str">
        <f t="shared" si="11"/>
        <v/>
      </c>
    </row>
    <row r="250" spans="7:8" x14ac:dyDescent="0.25">
      <c r="G250" s="6" t="str">
        <f t="shared" si="10"/>
        <v/>
      </c>
      <c r="H250" s="16" t="str">
        <f t="shared" si="11"/>
        <v/>
      </c>
    </row>
    <row r="251" spans="7:8" x14ac:dyDescent="0.25">
      <c r="G251" s="6" t="str">
        <f t="shared" si="10"/>
        <v/>
      </c>
      <c r="H251" s="16" t="str">
        <f t="shared" si="11"/>
        <v/>
      </c>
    </row>
    <row r="252" spans="7:8" x14ac:dyDescent="0.25">
      <c r="G252" s="6" t="str">
        <f t="shared" si="10"/>
        <v/>
      </c>
      <c r="H252" s="16" t="str">
        <f t="shared" si="11"/>
        <v/>
      </c>
    </row>
    <row r="253" spans="7:8" x14ac:dyDescent="0.25">
      <c r="G253" s="6" t="str">
        <f t="shared" si="10"/>
        <v/>
      </c>
      <c r="H253" s="16" t="str">
        <f t="shared" si="11"/>
        <v/>
      </c>
    </row>
    <row r="254" spans="7:8" x14ac:dyDescent="0.25">
      <c r="G254" s="6" t="str">
        <f t="shared" si="10"/>
        <v/>
      </c>
      <c r="H254" s="16" t="str">
        <f t="shared" si="11"/>
        <v/>
      </c>
    </row>
    <row r="255" spans="7:8" x14ac:dyDescent="0.25">
      <c r="G255" s="6" t="str">
        <f t="shared" si="10"/>
        <v/>
      </c>
      <c r="H255" s="16" t="str">
        <f t="shared" si="11"/>
        <v/>
      </c>
    </row>
    <row r="256" spans="7:8" x14ac:dyDescent="0.25">
      <c r="G256" s="6" t="str">
        <f t="shared" si="10"/>
        <v/>
      </c>
      <c r="H256" s="16" t="str">
        <f t="shared" si="11"/>
        <v/>
      </c>
    </row>
    <row r="257" spans="7:8" x14ac:dyDescent="0.25">
      <c r="G257" s="6" t="str">
        <f t="shared" si="10"/>
        <v/>
      </c>
      <c r="H257" s="16" t="str">
        <f t="shared" si="11"/>
        <v/>
      </c>
    </row>
    <row r="258" spans="7:8" x14ac:dyDescent="0.25">
      <c r="G258" s="6" t="str">
        <f t="shared" si="10"/>
        <v/>
      </c>
      <c r="H258" s="16" t="str">
        <f t="shared" si="11"/>
        <v/>
      </c>
    </row>
    <row r="259" spans="7:8" x14ac:dyDescent="0.25">
      <c r="G259" s="6" t="str">
        <f t="shared" si="10"/>
        <v/>
      </c>
      <c r="H259" s="16" t="str">
        <f t="shared" si="11"/>
        <v/>
      </c>
    </row>
    <row r="260" spans="7:8" x14ac:dyDescent="0.25">
      <c r="G260" s="6" t="str">
        <f t="shared" si="10"/>
        <v/>
      </c>
      <c r="H260" s="16" t="str">
        <f t="shared" si="11"/>
        <v/>
      </c>
    </row>
    <row r="261" spans="7:8" x14ac:dyDescent="0.25">
      <c r="G261" s="6" t="str">
        <f t="shared" si="10"/>
        <v/>
      </c>
      <c r="H261" s="16" t="str">
        <f t="shared" si="11"/>
        <v/>
      </c>
    </row>
    <row r="262" spans="7:8" x14ac:dyDescent="0.25">
      <c r="G262" s="6" t="str">
        <f t="shared" si="10"/>
        <v/>
      </c>
      <c r="H262" s="16" t="str">
        <f t="shared" si="11"/>
        <v/>
      </c>
    </row>
    <row r="263" spans="7:8" x14ac:dyDescent="0.25">
      <c r="G263" s="6" t="str">
        <f t="shared" si="10"/>
        <v/>
      </c>
      <c r="H263" s="16" t="str">
        <f t="shared" si="11"/>
        <v/>
      </c>
    </row>
    <row r="264" spans="7:8" x14ac:dyDescent="0.25">
      <c r="G264" s="6" t="str">
        <f t="shared" si="10"/>
        <v/>
      </c>
      <c r="H264" s="16" t="str">
        <f t="shared" si="11"/>
        <v/>
      </c>
    </row>
    <row r="265" spans="7:8" x14ac:dyDescent="0.25">
      <c r="G265" s="6" t="str">
        <f t="shared" si="10"/>
        <v/>
      </c>
      <c r="H265" s="16" t="str">
        <f t="shared" si="11"/>
        <v/>
      </c>
    </row>
    <row r="266" spans="7:8" x14ac:dyDescent="0.25">
      <c r="G266" s="6" t="str">
        <f t="shared" si="10"/>
        <v/>
      </c>
      <c r="H266" s="16" t="str">
        <f t="shared" si="11"/>
        <v/>
      </c>
    </row>
    <row r="267" spans="7:8" x14ac:dyDescent="0.25">
      <c r="G267" s="6" t="str">
        <f t="shared" si="10"/>
        <v/>
      </c>
      <c r="H267" s="16" t="str">
        <f t="shared" si="11"/>
        <v/>
      </c>
    </row>
    <row r="268" spans="7:8" x14ac:dyDescent="0.25">
      <c r="G268" s="6" t="str">
        <f t="shared" si="10"/>
        <v/>
      </c>
      <c r="H268" s="16" t="str">
        <f t="shared" si="11"/>
        <v/>
      </c>
    </row>
    <row r="269" spans="7:8" x14ac:dyDescent="0.25">
      <c r="G269" s="6" t="str">
        <f t="shared" si="10"/>
        <v/>
      </c>
      <c r="H269" s="16" t="str">
        <f t="shared" si="11"/>
        <v/>
      </c>
    </row>
    <row r="270" spans="7:8" x14ac:dyDescent="0.25">
      <c r="G270" s="6" t="str">
        <f t="shared" si="10"/>
        <v/>
      </c>
      <c r="H270" s="16" t="str">
        <f t="shared" si="11"/>
        <v/>
      </c>
    </row>
    <row r="271" spans="7:8" x14ac:dyDescent="0.25">
      <c r="G271" s="6" t="str">
        <f t="shared" si="10"/>
        <v/>
      </c>
      <c r="H271" s="16" t="str">
        <f t="shared" si="11"/>
        <v/>
      </c>
    </row>
    <row r="272" spans="7:8" x14ac:dyDescent="0.25">
      <c r="G272" s="6" t="str">
        <f t="shared" si="10"/>
        <v/>
      </c>
      <c r="H272" s="16" t="str">
        <f t="shared" si="11"/>
        <v/>
      </c>
    </row>
    <row r="273" spans="7:8" x14ac:dyDescent="0.25">
      <c r="G273" s="6" t="str">
        <f t="shared" ref="G273:G310" si="12">IF(F273 = "n", "NA", "")</f>
        <v/>
      </c>
      <c r="H273" s="16" t="str">
        <f t="shared" ref="H273:H310" si="13">IF(G273 = "y", "NA", "")</f>
        <v/>
      </c>
    </row>
    <row r="274" spans="7:8" x14ac:dyDescent="0.25">
      <c r="G274" s="6" t="str">
        <f t="shared" si="12"/>
        <v/>
      </c>
      <c r="H274" s="16" t="str">
        <f t="shared" si="13"/>
        <v/>
      </c>
    </row>
    <row r="275" spans="7:8" x14ac:dyDescent="0.25">
      <c r="G275" s="6" t="str">
        <f t="shared" si="12"/>
        <v/>
      </c>
      <c r="H275" s="16" t="str">
        <f t="shared" si="13"/>
        <v/>
      </c>
    </row>
    <row r="276" spans="7:8" x14ac:dyDescent="0.25">
      <c r="G276" s="6" t="str">
        <f t="shared" si="12"/>
        <v/>
      </c>
      <c r="H276" s="16" t="str">
        <f t="shared" si="13"/>
        <v/>
      </c>
    </row>
    <row r="277" spans="7:8" x14ac:dyDescent="0.25">
      <c r="G277" s="6" t="str">
        <f t="shared" si="12"/>
        <v/>
      </c>
      <c r="H277" s="16" t="str">
        <f t="shared" si="13"/>
        <v/>
      </c>
    </row>
    <row r="278" spans="7:8" x14ac:dyDescent="0.25">
      <c r="G278" s="6" t="str">
        <f t="shared" si="12"/>
        <v/>
      </c>
      <c r="H278" s="16" t="str">
        <f t="shared" si="13"/>
        <v/>
      </c>
    </row>
    <row r="279" spans="7:8" x14ac:dyDescent="0.25">
      <c r="G279" s="6" t="str">
        <f t="shared" si="12"/>
        <v/>
      </c>
      <c r="H279" s="16" t="str">
        <f t="shared" si="13"/>
        <v/>
      </c>
    </row>
    <row r="280" spans="7:8" x14ac:dyDescent="0.25">
      <c r="G280" s="6" t="str">
        <f t="shared" si="12"/>
        <v/>
      </c>
      <c r="H280" s="16" t="str">
        <f t="shared" si="13"/>
        <v/>
      </c>
    </row>
    <row r="281" spans="7:8" x14ac:dyDescent="0.25">
      <c r="G281" s="6" t="str">
        <f t="shared" si="12"/>
        <v/>
      </c>
      <c r="H281" s="16" t="str">
        <f t="shared" si="13"/>
        <v/>
      </c>
    </row>
    <row r="282" spans="7:8" x14ac:dyDescent="0.25">
      <c r="G282" s="6" t="str">
        <f t="shared" si="12"/>
        <v/>
      </c>
      <c r="H282" s="16" t="str">
        <f t="shared" si="13"/>
        <v/>
      </c>
    </row>
    <row r="283" spans="7:8" x14ac:dyDescent="0.25">
      <c r="G283" s="6" t="str">
        <f t="shared" si="12"/>
        <v/>
      </c>
      <c r="H283" s="16" t="str">
        <f t="shared" si="13"/>
        <v/>
      </c>
    </row>
    <row r="284" spans="7:8" x14ac:dyDescent="0.25">
      <c r="G284" s="6" t="str">
        <f t="shared" si="12"/>
        <v/>
      </c>
      <c r="H284" s="16" t="str">
        <f t="shared" si="13"/>
        <v/>
      </c>
    </row>
    <row r="285" spans="7:8" x14ac:dyDescent="0.25">
      <c r="G285" s="6" t="str">
        <f t="shared" si="12"/>
        <v/>
      </c>
      <c r="H285" s="16" t="str">
        <f t="shared" si="13"/>
        <v/>
      </c>
    </row>
    <row r="286" spans="7:8" x14ac:dyDescent="0.25">
      <c r="G286" s="6" t="str">
        <f t="shared" si="12"/>
        <v/>
      </c>
      <c r="H286" s="16" t="str">
        <f t="shared" si="13"/>
        <v/>
      </c>
    </row>
    <row r="287" spans="7:8" x14ac:dyDescent="0.25">
      <c r="G287" s="6" t="str">
        <f t="shared" si="12"/>
        <v/>
      </c>
      <c r="H287" s="16" t="str">
        <f t="shared" si="13"/>
        <v/>
      </c>
    </row>
    <row r="288" spans="7:8" x14ac:dyDescent="0.25">
      <c r="G288" s="6" t="str">
        <f t="shared" si="12"/>
        <v/>
      </c>
      <c r="H288" s="16" t="str">
        <f t="shared" si="13"/>
        <v/>
      </c>
    </row>
    <row r="289" spans="7:8" x14ac:dyDescent="0.25">
      <c r="G289" s="6" t="str">
        <f t="shared" si="12"/>
        <v/>
      </c>
      <c r="H289" s="16" t="str">
        <f t="shared" si="13"/>
        <v/>
      </c>
    </row>
    <row r="290" spans="7:8" x14ac:dyDescent="0.25">
      <c r="G290" s="6" t="str">
        <f t="shared" si="12"/>
        <v/>
      </c>
      <c r="H290" s="16" t="str">
        <f t="shared" si="13"/>
        <v/>
      </c>
    </row>
    <row r="291" spans="7:8" x14ac:dyDescent="0.25">
      <c r="G291" s="6" t="str">
        <f t="shared" si="12"/>
        <v/>
      </c>
      <c r="H291" s="16" t="str">
        <f t="shared" si="13"/>
        <v/>
      </c>
    </row>
    <row r="292" spans="7:8" x14ac:dyDescent="0.25">
      <c r="G292" s="6" t="str">
        <f t="shared" si="12"/>
        <v/>
      </c>
      <c r="H292" s="16" t="str">
        <f t="shared" si="13"/>
        <v/>
      </c>
    </row>
    <row r="293" spans="7:8" x14ac:dyDescent="0.25">
      <c r="G293" s="6" t="str">
        <f t="shared" si="12"/>
        <v/>
      </c>
      <c r="H293" s="16" t="str">
        <f t="shared" si="13"/>
        <v/>
      </c>
    </row>
    <row r="294" spans="7:8" x14ac:dyDescent="0.25">
      <c r="G294" s="6" t="str">
        <f t="shared" si="12"/>
        <v/>
      </c>
      <c r="H294" s="16" t="str">
        <f t="shared" si="13"/>
        <v/>
      </c>
    </row>
    <row r="295" spans="7:8" x14ac:dyDescent="0.25">
      <c r="G295" s="6" t="str">
        <f t="shared" si="12"/>
        <v/>
      </c>
      <c r="H295" s="16" t="str">
        <f t="shared" si="13"/>
        <v/>
      </c>
    </row>
    <row r="296" spans="7:8" x14ac:dyDescent="0.25">
      <c r="G296" s="6" t="str">
        <f t="shared" si="12"/>
        <v/>
      </c>
      <c r="H296" s="16" t="str">
        <f t="shared" si="13"/>
        <v/>
      </c>
    </row>
    <row r="297" spans="7:8" x14ac:dyDescent="0.25">
      <c r="G297" s="6" t="str">
        <f t="shared" si="12"/>
        <v/>
      </c>
      <c r="H297" s="16" t="str">
        <f t="shared" si="13"/>
        <v/>
      </c>
    </row>
    <row r="298" spans="7:8" x14ac:dyDescent="0.25">
      <c r="G298" s="6" t="str">
        <f t="shared" si="12"/>
        <v/>
      </c>
      <c r="H298" s="16" t="str">
        <f t="shared" si="13"/>
        <v/>
      </c>
    </row>
    <row r="299" spans="7:8" x14ac:dyDescent="0.25">
      <c r="G299" s="6" t="str">
        <f t="shared" si="12"/>
        <v/>
      </c>
      <c r="H299" s="16" t="str">
        <f t="shared" si="13"/>
        <v/>
      </c>
    </row>
    <row r="300" spans="7:8" x14ac:dyDescent="0.25">
      <c r="G300" s="6" t="str">
        <f t="shared" si="12"/>
        <v/>
      </c>
      <c r="H300" s="16" t="str">
        <f t="shared" si="13"/>
        <v/>
      </c>
    </row>
    <row r="301" spans="7:8" x14ac:dyDescent="0.25">
      <c r="G301" s="6" t="str">
        <f t="shared" si="12"/>
        <v/>
      </c>
      <c r="H301" s="16" t="str">
        <f t="shared" si="13"/>
        <v/>
      </c>
    </row>
    <row r="302" spans="7:8" x14ac:dyDescent="0.25">
      <c r="G302" s="6" t="str">
        <f t="shared" si="12"/>
        <v/>
      </c>
      <c r="H302" s="16" t="str">
        <f t="shared" si="13"/>
        <v/>
      </c>
    </row>
    <row r="303" spans="7:8" x14ac:dyDescent="0.25">
      <c r="G303" s="6" t="str">
        <f t="shared" si="12"/>
        <v/>
      </c>
      <c r="H303" s="16" t="str">
        <f t="shared" si="13"/>
        <v/>
      </c>
    </row>
    <row r="304" spans="7:8" x14ac:dyDescent="0.25">
      <c r="G304" s="6" t="str">
        <f t="shared" si="12"/>
        <v/>
      </c>
      <c r="H304" s="16" t="str">
        <f t="shared" si="13"/>
        <v/>
      </c>
    </row>
    <row r="305" spans="7:8" x14ac:dyDescent="0.25">
      <c r="G305" s="6" t="str">
        <f t="shared" si="12"/>
        <v/>
      </c>
      <c r="H305" s="16" t="str">
        <f t="shared" si="13"/>
        <v/>
      </c>
    </row>
    <row r="306" spans="7:8" x14ac:dyDescent="0.25">
      <c r="G306" s="6" t="str">
        <f t="shared" si="12"/>
        <v/>
      </c>
      <c r="H306" s="16" t="str">
        <f t="shared" si="13"/>
        <v/>
      </c>
    </row>
    <row r="307" spans="7:8" x14ac:dyDescent="0.25">
      <c r="G307" s="6" t="str">
        <f t="shared" si="12"/>
        <v/>
      </c>
      <c r="H307" s="16" t="str">
        <f t="shared" si="13"/>
        <v/>
      </c>
    </row>
    <row r="308" spans="7:8" x14ac:dyDescent="0.25">
      <c r="G308" s="6" t="str">
        <f t="shared" si="12"/>
        <v/>
      </c>
      <c r="H308" s="16" t="str">
        <f t="shared" si="13"/>
        <v/>
      </c>
    </row>
    <row r="309" spans="7:8" x14ac:dyDescent="0.25">
      <c r="G309" s="6" t="str">
        <f t="shared" si="12"/>
        <v/>
      </c>
      <c r="H309" s="16" t="str">
        <f t="shared" si="13"/>
        <v/>
      </c>
    </row>
    <row r="310" spans="7:8" x14ac:dyDescent="0.25">
      <c r="G310" s="6" t="str">
        <f t="shared" si="12"/>
        <v/>
      </c>
      <c r="H310" s="16" t="str">
        <f t="shared" si="13"/>
        <v/>
      </c>
    </row>
    <row r="1047883" spans="2:2" x14ac:dyDescent="0.25">
      <c r="B1047883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2023-03-12T02:15:59Z</dcterms:modified>
</cp:coreProperties>
</file>