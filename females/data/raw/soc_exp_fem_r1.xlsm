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ya\Desktop\R\bb_soc_exp\females\data\raw\"/>
    </mc:Choice>
  </mc:AlternateContent>
  <xr:revisionPtr revIDLastSave="0" documentId="13_ncr:1_{ECC7BA54-372F-43C7-9A5C-5463259A624B}" xr6:coauthVersionLast="47" xr6:coauthVersionMax="47" xr10:uidLastSave="{00000000-0000-0000-0000-000000000000}"/>
  <bookViews>
    <workbookView xWindow="28680" yWindow="-120" windowWidth="29040" windowHeight="15720" xr2:uid="{D79A3F70-BFC8-4B9F-88DD-F2FD3547E41D}"/>
  </bookViews>
  <sheets>
    <sheet name="rep_1" sheetId="1" r:id="rId1"/>
  </sheets>
  <definedNames>
    <definedName name="_xlnm._FilterDatabase" localSheetId="0" hidden="1">rep_1!$B$1:$J$1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9" i="1" l="1"/>
  <c r="G50" i="1"/>
  <c r="H3" i="1" l="1"/>
  <c r="I3" i="1" s="1"/>
  <c r="I4" i="1"/>
  <c r="H5" i="1"/>
  <c r="I5" i="1" s="1"/>
  <c r="G6" i="1"/>
  <c r="I6" i="1" s="1"/>
  <c r="I7" i="1"/>
  <c r="I8" i="1"/>
  <c r="G9" i="1"/>
  <c r="I9" i="1" s="1"/>
  <c r="H10" i="1"/>
  <c r="I10" i="1" s="1"/>
  <c r="H11" i="1"/>
  <c r="I11" i="1" s="1"/>
  <c r="H12" i="1"/>
  <c r="I12" i="1" s="1"/>
  <c r="G13" i="1"/>
  <c r="I13" i="1" s="1"/>
  <c r="G14" i="1"/>
  <c r="I14" i="1" s="1"/>
  <c r="I15" i="1"/>
  <c r="H16" i="1"/>
  <c r="I16" i="1" s="1"/>
  <c r="H17" i="1"/>
  <c r="I17" i="1" s="1"/>
  <c r="I18" i="1"/>
  <c r="I19" i="1"/>
  <c r="G20" i="1"/>
  <c r="I20" i="1" s="1"/>
  <c r="G21" i="1"/>
  <c r="I21" i="1" s="1"/>
  <c r="I22" i="1"/>
  <c r="H23" i="1"/>
  <c r="I23" i="1" s="1"/>
  <c r="I24" i="1"/>
  <c r="H25" i="1"/>
  <c r="I25" i="1" s="1"/>
  <c r="G26" i="1"/>
  <c r="I26" i="1" s="1"/>
  <c r="G27" i="1"/>
  <c r="I27" i="1" s="1"/>
  <c r="G28" i="1"/>
  <c r="I28" i="1" s="1"/>
  <c r="G29" i="1"/>
  <c r="I29" i="1" s="1"/>
  <c r="I30" i="1"/>
  <c r="H31" i="1"/>
  <c r="I31" i="1" s="1"/>
  <c r="H32" i="1"/>
  <c r="I32" i="1" s="1"/>
  <c r="H33" i="1"/>
  <c r="I33" i="1" s="1"/>
  <c r="H34" i="1"/>
  <c r="I34" i="1" s="1"/>
  <c r="G35" i="1"/>
  <c r="I35" i="1" s="1"/>
  <c r="G36" i="1"/>
  <c r="I36" i="1" s="1"/>
  <c r="G37" i="1"/>
  <c r="I37" i="1" s="1"/>
  <c r="G38" i="1"/>
  <c r="I38" i="1" s="1"/>
  <c r="G39" i="1"/>
  <c r="I39" i="1" s="1"/>
  <c r="G40" i="1"/>
  <c r="I40" i="1" s="1"/>
  <c r="H41" i="1"/>
  <c r="I41" i="1" s="1"/>
  <c r="G42" i="1"/>
  <c r="I42" i="1" s="1"/>
  <c r="G43" i="1"/>
  <c r="I43" i="1" s="1"/>
  <c r="G44" i="1"/>
  <c r="I44" i="1" s="1"/>
  <c r="G45" i="1"/>
  <c r="I45" i="1" s="1"/>
  <c r="H46" i="1"/>
  <c r="I46" i="1" s="1"/>
  <c r="H47" i="1"/>
  <c r="I47" i="1" s="1"/>
  <c r="G48" i="1"/>
  <c r="I48" i="1" s="1"/>
  <c r="I49" i="1"/>
  <c r="I50" i="1"/>
  <c r="I51" i="1"/>
  <c r="I52" i="1"/>
  <c r="H53" i="1"/>
  <c r="I53" i="1" s="1"/>
  <c r="G54" i="1"/>
  <c r="I54" i="1" s="1"/>
  <c r="G55" i="1"/>
  <c r="I55" i="1" s="1"/>
  <c r="G56" i="1"/>
  <c r="I56" i="1" s="1"/>
  <c r="H57" i="1"/>
  <c r="I57" i="1" s="1"/>
  <c r="G58" i="1"/>
  <c r="I58" i="1" s="1"/>
  <c r="H59" i="1"/>
  <c r="I59" i="1" s="1"/>
  <c r="G60" i="1"/>
  <c r="I60" i="1" s="1"/>
  <c r="H61" i="1"/>
  <c r="I61" i="1" s="1"/>
  <c r="G62" i="1"/>
  <c r="I62" i="1" s="1"/>
  <c r="G63" i="1"/>
  <c r="I63" i="1" s="1"/>
  <c r="I64" i="1"/>
  <c r="H65" i="1"/>
  <c r="I65" i="1" s="1"/>
  <c r="G66" i="1"/>
  <c r="I66" i="1" s="1"/>
  <c r="G67" i="1"/>
  <c r="I67" i="1" s="1"/>
  <c r="G68" i="1"/>
  <c r="I68" i="1" s="1"/>
  <c r="G69" i="1"/>
  <c r="I69" i="1" s="1"/>
  <c r="G70" i="1"/>
  <c r="I70" i="1" s="1"/>
  <c r="G71" i="1"/>
  <c r="I71" i="1" s="1"/>
  <c r="H72" i="1"/>
  <c r="I72" i="1" s="1"/>
  <c r="H73" i="1"/>
  <c r="I73" i="1" s="1"/>
  <c r="G74" i="1"/>
  <c r="I74" i="1" s="1"/>
  <c r="G75" i="1"/>
  <c r="I75" i="1" s="1"/>
  <c r="G76" i="1"/>
  <c r="I76" i="1" s="1"/>
  <c r="H77" i="1"/>
  <c r="I77" i="1" s="1"/>
  <c r="H78" i="1"/>
  <c r="I78" i="1" s="1"/>
  <c r="H79" i="1"/>
  <c r="I79" i="1" s="1"/>
  <c r="G80" i="1"/>
  <c r="I80" i="1" s="1"/>
  <c r="G81" i="1"/>
  <c r="I81" i="1" s="1"/>
  <c r="H82" i="1"/>
  <c r="I82" i="1" s="1"/>
  <c r="H83" i="1"/>
  <c r="I83" i="1" s="1"/>
  <c r="G84" i="1"/>
  <c r="I84" i="1" s="1"/>
  <c r="H85" i="1"/>
  <c r="I85" i="1" s="1"/>
  <c r="H86" i="1"/>
  <c r="I86" i="1" s="1"/>
  <c r="G87" i="1"/>
  <c r="I87" i="1" s="1"/>
  <c r="G88" i="1"/>
  <c r="I88" i="1" s="1"/>
  <c r="H89" i="1"/>
  <c r="I89" i="1" s="1"/>
  <c r="H90" i="1"/>
  <c r="I90" i="1" s="1"/>
  <c r="G91" i="1"/>
  <c r="I91" i="1" s="1"/>
  <c r="G92" i="1"/>
  <c r="I92" i="1" s="1"/>
  <c r="G93" i="1"/>
  <c r="I93" i="1" s="1"/>
  <c r="H94" i="1"/>
  <c r="I94" i="1" s="1"/>
  <c r="G95" i="1"/>
  <c r="I95" i="1" s="1"/>
  <c r="H96" i="1"/>
  <c r="I96" i="1" s="1"/>
  <c r="I97" i="1"/>
  <c r="G98" i="1"/>
  <c r="I98" i="1" s="1"/>
  <c r="H99" i="1"/>
  <c r="I99" i="1" s="1"/>
  <c r="G100" i="1"/>
  <c r="I100" i="1" s="1"/>
  <c r="H101" i="1"/>
  <c r="I101" i="1" s="1"/>
  <c r="G102" i="1"/>
  <c r="I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G257" i="1"/>
  <c r="H257" i="1" s="1"/>
  <c r="G258" i="1"/>
  <c r="H258" i="1" s="1"/>
  <c r="G259" i="1"/>
  <c r="H259" i="1" s="1"/>
  <c r="G260" i="1"/>
  <c r="H260" i="1" s="1"/>
  <c r="G261" i="1"/>
  <c r="H261" i="1" s="1"/>
  <c r="G262" i="1"/>
  <c r="H262" i="1" s="1"/>
  <c r="G263" i="1"/>
  <c r="H263" i="1" s="1"/>
  <c r="G264" i="1"/>
  <c r="H264" i="1" s="1"/>
  <c r="G265" i="1"/>
  <c r="H265" i="1" s="1"/>
  <c r="G266" i="1"/>
  <c r="H266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H273" i="1" s="1"/>
  <c r="G274" i="1"/>
  <c r="H274" i="1" s="1"/>
  <c r="G275" i="1"/>
  <c r="H275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H285" i="1" s="1"/>
  <c r="G286" i="1"/>
  <c r="H286" i="1" s="1"/>
  <c r="G287" i="1"/>
  <c r="H287" i="1" s="1"/>
  <c r="G288" i="1"/>
  <c r="H288" i="1" s="1"/>
  <c r="G289" i="1"/>
  <c r="H289" i="1" s="1"/>
  <c r="G290" i="1"/>
  <c r="H290" i="1" s="1"/>
  <c r="G291" i="1"/>
  <c r="H291" i="1" s="1"/>
  <c r="G292" i="1"/>
  <c r="H292" i="1" s="1"/>
  <c r="G293" i="1"/>
  <c r="H293" i="1" s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H305" i="1" s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2" i="1"/>
  <c r="H312" i="1" s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H320" i="1" s="1"/>
  <c r="G321" i="1"/>
  <c r="H321" i="1" s="1"/>
  <c r="G322" i="1"/>
  <c r="H322" i="1" s="1"/>
  <c r="G323" i="1"/>
  <c r="H323" i="1" s="1"/>
  <c r="G324" i="1"/>
  <c r="H324" i="1" s="1"/>
  <c r="G325" i="1"/>
  <c r="H325" i="1" s="1"/>
  <c r="G326" i="1"/>
  <c r="H326" i="1" s="1"/>
  <c r="G327" i="1"/>
  <c r="H327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5" i="1"/>
  <c r="H335" i="1" s="1"/>
  <c r="G336" i="1"/>
  <c r="H336" i="1" s="1"/>
  <c r="G337" i="1"/>
  <c r="H337" i="1" s="1"/>
  <c r="G338" i="1"/>
  <c r="H338" i="1" s="1"/>
  <c r="G339" i="1"/>
  <c r="H339" i="1" s="1"/>
  <c r="G340" i="1"/>
  <c r="H340" i="1" s="1"/>
  <c r="G341" i="1"/>
  <c r="H341" i="1" s="1"/>
  <c r="G342" i="1"/>
  <c r="H342" i="1" s="1"/>
  <c r="G343" i="1"/>
  <c r="H343" i="1" s="1"/>
  <c r="G344" i="1"/>
  <c r="H344" i="1" s="1"/>
  <c r="G345" i="1"/>
  <c r="H345" i="1" s="1"/>
  <c r="G346" i="1"/>
  <c r="H346" i="1" s="1"/>
  <c r="G347" i="1"/>
  <c r="H347" i="1" s="1"/>
  <c r="G348" i="1"/>
  <c r="H348" i="1" s="1"/>
  <c r="G349" i="1"/>
  <c r="H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2" i="1"/>
  <c r="H2" i="1" s="1"/>
</calcChain>
</file>

<file path=xl/sharedStrings.xml><?xml version="1.0" encoding="utf-8"?>
<sst xmlns="http://schemas.openxmlformats.org/spreadsheetml/2006/main" count="441" uniqueCount="38">
  <si>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</si>
  <si>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</si>
  <si>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</si>
  <si>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</si>
  <si>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</si>
  <si>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</si>
  <si>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</si>
  <si>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</si>
  <si>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day</t>
  </si>
  <si>
    <t>notes</t>
  </si>
  <si>
    <t>,6</t>
  </si>
  <si>
    <t>5,</t>
  </si>
  <si>
    <t>y</t>
  </si>
  <si>
    <t>,8</t>
  </si>
  <si>
    <t>8,</t>
  </si>
  <si>
    <t>2,</t>
  </si>
  <si>
    <t>n</t>
  </si>
  <si>
    <t>NA</t>
  </si>
  <si>
    <t>1,</t>
  </si>
  <si>
    <t>,4</t>
  </si>
  <si>
    <t>0,</t>
  </si>
  <si>
    <t>6,</t>
  </si>
  <si>
    <t>,1</t>
  </si>
  <si>
    <t>TRIAL START</t>
  </si>
  <si>
    <t>,0</t>
  </si>
  <si>
    <t>,3</t>
  </si>
  <si>
    <t>,2</t>
  </si>
  <si>
    <t>male lousy</t>
  </si>
  <si>
    <t>female was against wall</t>
  </si>
  <si>
    <t>9,</t>
  </si>
  <si>
    <t>,5</t>
  </si>
  <si>
    <t>4,</t>
  </si>
  <si>
    <t>lousy male</t>
  </si>
  <si>
    <t>end time is an estimate</t>
  </si>
  <si>
    <t>stayed on top of female; couldn't get into position</t>
  </si>
  <si>
    <t>8</t>
  </si>
  <si>
    <t>weird male</t>
  </si>
  <si>
    <t>refusal 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</si>
</sst>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4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9" fontId="0" fillId="4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8" fontId="0" fillId="4" borderId="1" xfId="0" applyNumberFormat="1" applyFill="1" applyBorder="1" applyAlignment="1">
      <alignment horizontal="center"/>
    </xf>
    <xf numFmtId="19" fontId="1" fillId="4" borderId="1" xfId="0" applyNumberFormat="1" applyFont="1" applyFill="1" applyBorder="1" applyAlignment="1">
      <alignment horizontal="center"/>
    </xf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0" fillId="0" borderId="3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J1048071"/>
  <sheetViews>
    <sheetView tabSelected="1" zoomScaleNormal="100" workbookViewId="0">
      <pane ySplit="1" topLeftCell="A41" activePane="bottomLeft" state="frozen"/>
      <selection pane="bottomLeft" activeCell="N57" sqref="N57"/>
    </sheetView>
  </sheetViews>
  <sheetFormatPr defaultRowHeight="15" x14ac:dyDescent="0.25"/>
  <cols>
    <col min="1" max="1" width="10.42578125" bestFit="1" customWidth="1"/>
    <col min="2" max="2" width="13.42578125" style="9" customWidth="1"/>
    <col min="3" max="3" width="13" style="7" customWidth="1"/>
    <col min="4" max="4" width="9" style="5" customWidth="1"/>
    <col min="5" max="5" width="11.5703125" style="5" bestFit="1" customWidth="1"/>
    <col min="6" max="6" width="22.5703125" style="6" customWidth="1"/>
    <col min="7" max="7" width="20.7109375" style="6" customWidth="1"/>
    <col min="8" max="8" width="22.7109375" style="14" customWidth="1"/>
    <col min="9" max="9" width="22.7109375" style="6" customWidth="1"/>
    <col min="10" max="10" width="51.28515625" customWidth="1"/>
  </cols>
  <sheetData>
    <row r="1" spans="1:10" x14ac:dyDescent="0.25">
      <c r="A1" t="s">
        <v>8</v>
      </c>
      <c r="B1" s="8" t="s">
        <v>3</v>
      </c>
      <c r="C1" s="1" t="s">
        <v>4</v>
      </c>
      <c r="D1" s="2" t="s">
        <v>1</v>
      </c>
      <c r="E1" s="2" t="s">
        <v>2</v>
      </c>
      <c r="F1" s="3" t="s">
        <v>5</v>
      </c>
      <c r="G1" s="3" t="s">
        <v>6</v>
      </c>
      <c r="H1" s="13" t="s">
        <v>7</v>
      </c>
      <c r="I1" s="3" t="s">
        <v>0</v>
      </c>
      <c r="J1" s="15" t="s">
        <v>9</v>
      </c>
    </row>
    <row r="2" spans="1:10" x14ac:dyDescent="0.25">
      <c r="A2" s="12">
        <v>1</v>
      </c>
      <c r="B2" s="11">
        <v>0.33517361111111116</v>
      </c>
      <c r="C2" s="11"/>
      <c r="D2" s="2" t="s">
        <v>17</v>
      </c>
      <c r="E2" s="2" t="s">
        <v>17</v>
      </c>
      <c r="F2" s="3"/>
      <c r="G2" s="3" t="str">
        <f>IF(F2 = "n", "NA", "")</f>
        <v/>
      </c>
      <c r="H2" s="13" t="str">
        <f>IF(G2 = "y", "NA", "")</f>
        <v/>
      </c>
      <c r="I2" s="3" t="s">
        <v>23</v>
      </c>
    </row>
    <row r="3" spans="1:10" x14ac:dyDescent="0.25">
      <c r="A3">
        <v>1</v>
      </c>
      <c r="B3" s="4">
        <v>0.33542824074074074</v>
      </c>
      <c r="C3" s="4"/>
      <c r="D3" s="5" t="s">
        <v>10</v>
      </c>
      <c r="E3" s="5" t="s">
        <v>11</v>
      </c>
      <c r="F3" s="6" t="s">
        <v>12</v>
      </c>
      <c r="G3" s="6" t="s">
        <v>12</v>
      </c>
      <c r="H3" s="14" t="str">
        <f t="shared" ref="H3:H61" si="0">IF(G3 = "y", "NA", "")</f>
        <v>NA</v>
      </c>
      <c r="I3" s="6" t="str">
        <f t="shared" ref="I3:I63" si="1">IF(H3="n", "insemination", "mount")</f>
        <v>mount</v>
      </c>
    </row>
    <row r="4" spans="1:10" x14ac:dyDescent="0.25">
      <c r="A4">
        <v>1</v>
      </c>
      <c r="B4" s="4">
        <v>0.33575231481481477</v>
      </c>
      <c r="C4" s="4">
        <v>0.33957175925925925</v>
      </c>
      <c r="D4" s="5" t="s">
        <v>10</v>
      </c>
      <c r="E4" s="5" t="s">
        <v>15</v>
      </c>
      <c r="F4" s="6" t="s">
        <v>12</v>
      </c>
      <c r="G4" s="6" t="s">
        <v>16</v>
      </c>
      <c r="H4" s="14" t="s">
        <v>16</v>
      </c>
      <c r="I4" s="6" t="str">
        <f t="shared" si="1"/>
        <v>insemination</v>
      </c>
    </row>
    <row r="5" spans="1:10" x14ac:dyDescent="0.25">
      <c r="A5">
        <v>1</v>
      </c>
      <c r="B5" s="4">
        <v>0.33805555555555555</v>
      </c>
      <c r="C5" s="4"/>
      <c r="D5" s="5" t="s">
        <v>13</v>
      </c>
      <c r="E5" s="5" t="s">
        <v>18</v>
      </c>
      <c r="F5" s="6" t="s">
        <v>12</v>
      </c>
      <c r="G5" s="6" t="s">
        <v>12</v>
      </c>
      <c r="H5" s="14" t="str">
        <f t="shared" si="0"/>
        <v>NA</v>
      </c>
      <c r="I5" s="6" t="str">
        <f t="shared" si="1"/>
        <v>mount</v>
      </c>
    </row>
    <row r="6" spans="1:10" x14ac:dyDescent="0.25">
      <c r="A6">
        <v>1</v>
      </c>
      <c r="B6" s="4">
        <v>0.33844907407407404</v>
      </c>
      <c r="C6" s="4"/>
      <c r="D6" s="5" t="s">
        <v>13</v>
      </c>
      <c r="E6" s="5" t="s">
        <v>18</v>
      </c>
      <c r="F6" s="6" t="s">
        <v>16</v>
      </c>
      <c r="G6" s="6" t="str">
        <f t="shared" ref="G6:G63" si="2">IF(F6 = "n", "NA", "")</f>
        <v>NA</v>
      </c>
      <c r="H6" s="14" t="s">
        <v>12</v>
      </c>
      <c r="I6" s="6" t="str">
        <f t="shared" si="1"/>
        <v>mount</v>
      </c>
    </row>
    <row r="7" spans="1:10" x14ac:dyDescent="0.25">
      <c r="A7">
        <v>1</v>
      </c>
      <c r="B7" s="4">
        <v>0.34039351851851851</v>
      </c>
      <c r="C7" s="10"/>
      <c r="D7" s="5" t="s">
        <v>10</v>
      </c>
      <c r="E7" s="5" t="s">
        <v>15</v>
      </c>
      <c r="F7" s="6" t="s">
        <v>16</v>
      </c>
      <c r="G7" s="6" t="s">
        <v>17</v>
      </c>
      <c r="H7" s="14" t="s">
        <v>12</v>
      </c>
      <c r="I7" s="6" t="str">
        <f t="shared" si="1"/>
        <v>mount</v>
      </c>
    </row>
    <row r="8" spans="1:10" x14ac:dyDescent="0.25">
      <c r="A8">
        <v>1</v>
      </c>
      <c r="B8" s="4">
        <v>0.34047453703703701</v>
      </c>
      <c r="D8" s="5" t="s">
        <v>13</v>
      </c>
      <c r="E8" s="5" t="s">
        <v>18</v>
      </c>
      <c r="F8" s="6" t="s">
        <v>12</v>
      </c>
      <c r="G8" s="6" t="s">
        <v>12</v>
      </c>
      <c r="H8" s="14" t="s">
        <v>17</v>
      </c>
      <c r="I8" s="6" t="str">
        <f t="shared" si="1"/>
        <v>mount</v>
      </c>
    </row>
    <row r="9" spans="1:10" x14ac:dyDescent="0.25">
      <c r="A9">
        <v>1</v>
      </c>
      <c r="B9" s="4">
        <v>0.3414814814814815</v>
      </c>
      <c r="C9" s="4">
        <v>0.34306712962962965</v>
      </c>
      <c r="D9" s="5" t="s">
        <v>19</v>
      </c>
      <c r="E9" s="5" t="s">
        <v>20</v>
      </c>
      <c r="F9" s="6" t="s">
        <v>16</v>
      </c>
      <c r="G9" s="6" t="str">
        <f t="shared" si="2"/>
        <v>NA</v>
      </c>
      <c r="H9" s="14" t="s">
        <v>16</v>
      </c>
      <c r="I9" s="6" t="str">
        <f t="shared" si="1"/>
        <v>insemination</v>
      </c>
    </row>
    <row r="10" spans="1:10" x14ac:dyDescent="0.25">
      <c r="A10">
        <v>1</v>
      </c>
      <c r="B10" s="4">
        <v>0.34173611111111107</v>
      </c>
      <c r="D10" s="5" t="s">
        <v>10</v>
      </c>
      <c r="E10" s="5" t="s">
        <v>21</v>
      </c>
      <c r="F10" s="6" t="s">
        <v>12</v>
      </c>
      <c r="G10" s="6" t="s">
        <v>12</v>
      </c>
      <c r="H10" s="14" t="str">
        <f t="shared" si="0"/>
        <v>NA</v>
      </c>
      <c r="I10" s="6" t="str">
        <f t="shared" si="1"/>
        <v>mount</v>
      </c>
    </row>
    <row r="11" spans="1:10" x14ac:dyDescent="0.25">
      <c r="A11">
        <v>1</v>
      </c>
      <c r="B11" s="4">
        <v>0.34307870370370369</v>
      </c>
      <c r="C11" s="4"/>
      <c r="D11" s="5" t="s">
        <v>13</v>
      </c>
      <c r="E11" s="5" t="s">
        <v>18</v>
      </c>
      <c r="F11" s="6" t="s">
        <v>12</v>
      </c>
      <c r="G11" s="6" t="s">
        <v>12</v>
      </c>
      <c r="H11" s="14" t="str">
        <f t="shared" si="0"/>
        <v>NA</v>
      </c>
      <c r="I11" s="6" t="str">
        <f t="shared" si="1"/>
        <v>mount</v>
      </c>
      <c r="J11" s="16"/>
    </row>
    <row r="12" spans="1:10" x14ac:dyDescent="0.25">
      <c r="A12">
        <v>1</v>
      </c>
      <c r="B12" s="4">
        <v>0.34332175925925923</v>
      </c>
      <c r="C12" s="4"/>
      <c r="D12" s="5" t="s">
        <v>22</v>
      </c>
      <c r="E12" s="5" t="s">
        <v>18</v>
      </c>
      <c r="F12" s="6" t="s">
        <v>12</v>
      </c>
      <c r="G12" s="6" t="s">
        <v>12</v>
      </c>
      <c r="H12" s="14" t="str">
        <f t="shared" si="0"/>
        <v>NA</v>
      </c>
      <c r="I12" s="6" t="str">
        <f t="shared" si="1"/>
        <v>mount</v>
      </c>
    </row>
    <row r="13" spans="1:10" x14ac:dyDescent="0.25">
      <c r="A13">
        <v>1</v>
      </c>
      <c r="B13" s="4">
        <v>0.34358796296296296</v>
      </c>
      <c r="C13" s="4"/>
      <c r="D13" s="5" t="s">
        <v>10</v>
      </c>
      <c r="E13" s="5" t="s">
        <v>15</v>
      </c>
      <c r="F13" s="6" t="s">
        <v>16</v>
      </c>
      <c r="G13" s="6" t="str">
        <f t="shared" si="2"/>
        <v>NA</v>
      </c>
      <c r="H13" s="14" t="s">
        <v>12</v>
      </c>
      <c r="I13" s="6" t="str">
        <f t="shared" si="1"/>
        <v>mount</v>
      </c>
    </row>
    <row r="14" spans="1:10" x14ac:dyDescent="0.25">
      <c r="A14">
        <v>1</v>
      </c>
      <c r="B14" s="4">
        <v>0.34425925925925926</v>
      </c>
      <c r="C14" s="4">
        <v>0.34570601851851851</v>
      </c>
      <c r="D14" s="5" t="s">
        <v>10</v>
      </c>
      <c r="E14" s="5" t="s">
        <v>11</v>
      </c>
      <c r="F14" s="6" t="s">
        <v>16</v>
      </c>
      <c r="G14" s="6" t="str">
        <f t="shared" si="2"/>
        <v>NA</v>
      </c>
      <c r="H14" s="14" t="s">
        <v>16</v>
      </c>
      <c r="I14" s="6" t="str">
        <f t="shared" si="1"/>
        <v>insemination</v>
      </c>
      <c r="J14" s="16"/>
    </row>
    <row r="15" spans="1:10" x14ac:dyDescent="0.25">
      <c r="A15">
        <v>1</v>
      </c>
      <c r="B15" s="4">
        <v>0.34907407407407409</v>
      </c>
      <c r="C15" s="4">
        <v>0.34976851851851848</v>
      </c>
      <c r="D15" s="5" t="s">
        <v>24</v>
      </c>
      <c r="E15" s="5" t="s">
        <v>20</v>
      </c>
      <c r="F15" s="6" t="s">
        <v>12</v>
      </c>
      <c r="G15" s="6" t="s">
        <v>16</v>
      </c>
      <c r="H15" s="14" t="s">
        <v>16</v>
      </c>
      <c r="I15" s="6" t="str">
        <f t="shared" si="1"/>
        <v>insemination</v>
      </c>
    </row>
    <row r="16" spans="1:10" x14ac:dyDescent="0.25">
      <c r="A16">
        <v>1</v>
      </c>
      <c r="B16" s="4">
        <v>0.35054398148148147</v>
      </c>
      <c r="D16" s="5" t="s">
        <v>13</v>
      </c>
      <c r="E16" s="5" t="s">
        <v>15</v>
      </c>
      <c r="F16" s="6" t="s">
        <v>12</v>
      </c>
      <c r="G16" s="6" t="s">
        <v>12</v>
      </c>
      <c r="H16" s="14" t="str">
        <f t="shared" si="0"/>
        <v>NA</v>
      </c>
      <c r="I16" s="6" t="str">
        <f t="shared" si="1"/>
        <v>mount</v>
      </c>
    </row>
    <row r="17" spans="1:10" x14ac:dyDescent="0.25">
      <c r="A17">
        <v>1</v>
      </c>
      <c r="B17" s="4">
        <v>0.35070601851851851</v>
      </c>
      <c r="C17" s="4"/>
      <c r="D17" s="5" t="s">
        <v>13</v>
      </c>
      <c r="E17" s="5" t="s">
        <v>20</v>
      </c>
      <c r="F17" s="6" t="s">
        <v>12</v>
      </c>
      <c r="G17" s="6" t="s">
        <v>12</v>
      </c>
      <c r="H17" s="14" t="str">
        <f t="shared" si="0"/>
        <v>NA</v>
      </c>
      <c r="I17" s="6" t="str">
        <f t="shared" si="1"/>
        <v>mount</v>
      </c>
    </row>
    <row r="18" spans="1:10" x14ac:dyDescent="0.25">
      <c r="A18">
        <v>1</v>
      </c>
      <c r="B18" s="4">
        <v>0.35099537037037037</v>
      </c>
      <c r="C18" s="4"/>
      <c r="D18" s="5" t="s">
        <v>13</v>
      </c>
      <c r="E18" s="5" t="s">
        <v>20</v>
      </c>
      <c r="F18" s="6" t="s">
        <v>12</v>
      </c>
      <c r="G18" s="6" t="s">
        <v>16</v>
      </c>
      <c r="H18" s="14" t="s">
        <v>12</v>
      </c>
      <c r="I18" s="6" t="str">
        <f t="shared" si="1"/>
        <v>mount</v>
      </c>
    </row>
    <row r="19" spans="1:10" x14ac:dyDescent="0.25">
      <c r="A19">
        <v>1</v>
      </c>
      <c r="B19" s="4">
        <v>0.35189814814814818</v>
      </c>
      <c r="D19" s="5" t="s">
        <v>13</v>
      </c>
      <c r="E19" s="5" t="s">
        <v>21</v>
      </c>
      <c r="F19" s="6" t="s">
        <v>12</v>
      </c>
      <c r="G19" s="6" t="s">
        <v>16</v>
      </c>
      <c r="H19" s="14" t="s">
        <v>12</v>
      </c>
      <c r="I19" s="6" t="str">
        <f t="shared" si="1"/>
        <v>mount</v>
      </c>
    </row>
    <row r="20" spans="1:10" x14ac:dyDescent="0.25">
      <c r="A20">
        <v>1</v>
      </c>
      <c r="B20" s="4">
        <v>0.35230324074074071</v>
      </c>
      <c r="C20" s="4">
        <v>0.35335648148148152</v>
      </c>
      <c r="D20" s="5" t="s">
        <v>10</v>
      </c>
      <c r="E20" s="5" t="s">
        <v>15</v>
      </c>
      <c r="F20" s="6" t="s">
        <v>16</v>
      </c>
      <c r="G20" s="6" t="str">
        <f t="shared" si="2"/>
        <v>NA</v>
      </c>
      <c r="H20" s="14" t="s">
        <v>16</v>
      </c>
      <c r="I20" s="6" t="str">
        <f t="shared" si="1"/>
        <v>insemination</v>
      </c>
    </row>
    <row r="21" spans="1:10" x14ac:dyDescent="0.25">
      <c r="A21">
        <v>1</v>
      </c>
      <c r="B21" s="4">
        <v>0.3526157407407407</v>
      </c>
      <c r="C21" s="4"/>
      <c r="D21" s="5" t="s">
        <v>22</v>
      </c>
      <c r="E21" s="5" t="s">
        <v>11</v>
      </c>
      <c r="F21" s="6" t="s">
        <v>16</v>
      </c>
      <c r="G21" s="6" t="str">
        <f t="shared" si="2"/>
        <v>NA</v>
      </c>
      <c r="H21" s="14" t="s">
        <v>12</v>
      </c>
      <c r="I21" s="6" t="str">
        <f t="shared" si="1"/>
        <v>mount</v>
      </c>
      <c r="J21" s="16" t="s">
        <v>27</v>
      </c>
    </row>
    <row r="22" spans="1:10" x14ac:dyDescent="0.25">
      <c r="A22">
        <v>1</v>
      </c>
      <c r="B22" s="4">
        <v>0.35365740740740742</v>
      </c>
      <c r="C22" s="4"/>
      <c r="D22" s="5" t="s">
        <v>13</v>
      </c>
      <c r="E22" s="5" t="s">
        <v>21</v>
      </c>
      <c r="F22" s="6" t="s">
        <v>12</v>
      </c>
      <c r="G22" s="6" t="s">
        <v>12</v>
      </c>
      <c r="H22" s="14" t="s">
        <v>17</v>
      </c>
      <c r="I22" s="6" t="str">
        <f t="shared" si="1"/>
        <v>mount</v>
      </c>
      <c r="J22" s="18" t="s">
        <v>28</v>
      </c>
    </row>
    <row r="23" spans="1:10" x14ac:dyDescent="0.25">
      <c r="A23">
        <v>1</v>
      </c>
      <c r="B23" s="4">
        <v>0.35523148148148148</v>
      </c>
      <c r="D23" s="5" t="s">
        <v>10</v>
      </c>
      <c r="E23" s="5" t="s">
        <v>20</v>
      </c>
      <c r="F23" s="6" t="s">
        <v>12</v>
      </c>
      <c r="G23" s="6" t="s">
        <v>12</v>
      </c>
      <c r="H23" s="14" t="str">
        <f t="shared" si="0"/>
        <v>NA</v>
      </c>
      <c r="I23" s="6" t="str">
        <f t="shared" si="1"/>
        <v>mount</v>
      </c>
    </row>
    <row r="24" spans="1:10" x14ac:dyDescent="0.25">
      <c r="A24">
        <v>1</v>
      </c>
      <c r="B24" s="4">
        <v>0.35733796296296294</v>
      </c>
      <c r="C24" s="4">
        <v>0.35844907407407406</v>
      </c>
      <c r="D24" s="5" t="s">
        <v>25</v>
      </c>
      <c r="E24" s="5" t="s">
        <v>29</v>
      </c>
      <c r="F24" s="6" t="s">
        <v>12</v>
      </c>
      <c r="G24" s="6" t="s">
        <v>16</v>
      </c>
      <c r="H24" s="14" t="s">
        <v>16</v>
      </c>
      <c r="I24" s="6" t="str">
        <f t="shared" si="1"/>
        <v>insemination</v>
      </c>
    </row>
    <row r="25" spans="1:10" x14ac:dyDescent="0.25">
      <c r="A25">
        <v>1</v>
      </c>
      <c r="B25" s="4">
        <v>0.36030092592592594</v>
      </c>
      <c r="D25" s="5" t="s">
        <v>13</v>
      </c>
      <c r="E25" s="5" t="s">
        <v>29</v>
      </c>
      <c r="F25" s="6" t="s">
        <v>12</v>
      </c>
      <c r="G25" s="6" t="s">
        <v>12</v>
      </c>
      <c r="H25" s="14" t="str">
        <f t="shared" si="0"/>
        <v>NA</v>
      </c>
      <c r="I25" s="6" t="str">
        <f t="shared" si="1"/>
        <v>mount</v>
      </c>
    </row>
    <row r="26" spans="1:10" x14ac:dyDescent="0.25">
      <c r="A26">
        <v>1</v>
      </c>
      <c r="B26" s="4">
        <v>0.3603703703703704</v>
      </c>
      <c r="D26" s="5" t="s">
        <v>13</v>
      </c>
      <c r="E26" s="5" t="s">
        <v>14</v>
      </c>
      <c r="F26" s="6" t="s">
        <v>16</v>
      </c>
      <c r="G26" s="6" t="str">
        <f t="shared" si="2"/>
        <v>NA</v>
      </c>
      <c r="H26" s="14" t="s">
        <v>12</v>
      </c>
      <c r="I26" s="6" t="str">
        <f t="shared" si="1"/>
        <v>mount</v>
      </c>
      <c r="J26" s="16"/>
    </row>
    <row r="27" spans="1:10" x14ac:dyDescent="0.25">
      <c r="A27">
        <v>1</v>
      </c>
      <c r="B27" s="4">
        <v>0.36078703703703702</v>
      </c>
      <c r="C27" s="4">
        <v>0.3613425925925926</v>
      </c>
      <c r="D27" s="5" t="s">
        <v>30</v>
      </c>
      <c r="E27" s="5" t="s">
        <v>15</v>
      </c>
      <c r="F27" s="6" t="s">
        <v>16</v>
      </c>
      <c r="G27" s="6" t="str">
        <f t="shared" si="2"/>
        <v>NA</v>
      </c>
      <c r="H27" s="14" t="s">
        <v>16</v>
      </c>
      <c r="I27" s="6" t="str">
        <f t="shared" si="1"/>
        <v>insemination</v>
      </c>
      <c r="J27" s="16"/>
    </row>
    <row r="28" spans="1:10" x14ac:dyDescent="0.25">
      <c r="A28">
        <v>1</v>
      </c>
      <c r="B28" s="4">
        <v>0.36201388888888886</v>
      </c>
      <c r="D28" s="5" t="s">
        <v>13</v>
      </c>
      <c r="E28" s="5" t="s">
        <v>29</v>
      </c>
      <c r="F28" s="6" t="s">
        <v>16</v>
      </c>
      <c r="G28" s="6" t="str">
        <f t="shared" si="2"/>
        <v>NA</v>
      </c>
      <c r="H28" s="14" t="s">
        <v>12</v>
      </c>
      <c r="I28" s="6" t="str">
        <f t="shared" si="1"/>
        <v>mount</v>
      </c>
    </row>
    <row r="29" spans="1:10" x14ac:dyDescent="0.25">
      <c r="A29">
        <v>1</v>
      </c>
      <c r="B29" s="4">
        <v>0.3626388888888889</v>
      </c>
      <c r="D29" s="5" t="s">
        <v>22</v>
      </c>
      <c r="E29" s="5" t="s">
        <v>14</v>
      </c>
      <c r="F29" s="6" t="s">
        <v>16</v>
      </c>
      <c r="G29" s="6" t="str">
        <f t="shared" si="2"/>
        <v>NA</v>
      </c>
      <c r="H29" s="14" t="s">
        <v>12</v>
      </c>
      <c r="I29" s="6" t="str">
        <f t="shared" si="1"/>
        <v>mount</v>
      </c>
      <c r="J29" t="s">
        <v>27</v>
      </c>
    </row>
    <row r="30" spans="1:10" x14ac:dyDescent="0.25">
      <c r="A30">
        <v>1</v>
      </c>
      <c r="B30" s="4">
        <v>0.3638657407407408</v>
      </c>
      <c r="D30" s="5" t="s">
        <v>25</v>
      </c>
      <c r="E30" s="5" t="s">
        <v>15</v>
      </c>
      <c r="F30" s="6" t="s">
        <v>12</v>
      </c>
      <c r="G30" s="6" t="s">
        <v>16</v>
      </c>
      <c r="H30" s="14" t="s">
        <v>12</v>
      </c>
      <c r="I30" s="6" t="str">
        <f t="shared" si="1"/>
        <v>mount</v>
      </c>
    </row>
    <row r="31" spans="1:10" x14ac:dyDescent="0.25">
      <c r="A31">
        <v>1</v>
      </c>
      <c r="B31" s="4">
        <v>0.36515046296296294</v>
      </c>
      <c r="D31" s="5" t="s">
        <v>24</v>
      </c>
      <c r="E31" s="5" t="s">
        <v>21</v>
      </c>
      <c r="F31" s="6" t="s">
        <v>12</v>
      </c>
      <c r="G31" s="6" t="s">
        <v>12</v>
      </c>
      <c r="H31" s="14" t="str">
        <f t="shared" si="0"/>
        <v>NA</v>
      </c>
      <c r="I31" s="6" t="str">
        <f t="shared" si="1"/>
        <v>mount</v>
      </c>
    </row>
    <row r="32" spans="1:10" x14ac:dyDescent="0.25">
      <c r="A32">
        <v>1</v>
      </c>
      <c r="B32" s="4">
        <v>0.36518518518518522</v>
      </c>
      <c r="D32" s="5" t="s">
        <v>10</v>
      </c>
      <c r="E32" s="5" t="s">
        <v>11</v>
      </c>
      <c r="F32" s="6" t="s">
        <v>12</v>
      </c>
      <c r="G32" s="6" t="s">
        <v>12</v>
      </c>
      <c r="H32" s="14" t="str">
        <f t="shared" si="0"/>
        <v>NA</v>
      </c>
      <c r="I32" s="6" t="str">
        <f t="shared" si="1"/>
        <v>mount</v>
      </c>
    </row>
    <row r="33" spans="1:10" x14ac:dyDescent="0.25">
      <c r="A33">
        <v>1</v>
      </c>
      <c r="B33" s="4">
        <v>0.36537037037037035</v>
      </c>
      <c r="D33" s="5" t="s">
        <v>10</v>
      </c>
      <c r="E33" s="5" t="s">
        <v>14</v>
      </c>
      <c r="F33" s="6" t="s">
        <v>12</v>
      </c>
      <c r="G33" s="6" t="s">
        <v>12</v>
      </c>
      <c r="H33" s="14" t="str">
        <f t="shared" si="0"/>
        <v>NA</v>
      </c>
      <c r="I33" s="6" t="str">
        <f t="shared" si="1"/>
        <v>mount</v>
      </c>
    </row>
    <row r="34" spans="1:10" x14ac:dyDescent="0.25">
      <c r="A34">
        <v>1</v>
      </c>
      <c r="B34" s="4">
        <v>0.36556712962962962</v>
      </c>
      <c r="D34" s="5" t="s">
        <v>10</v>
      </c>
      <c r="E34" s="5" t="s">
        <v>11</v>
      </c>
      <c r="F34" s="6" t="s">
        <v>12</v>
      </c>
      <c r="G34" s="6" t="s">
        <v>12</v>
      </c>
      <c r="H34" s="14" t="str">
        <f t="shared" si="0"/>
        <v>NA</v>
      </c>
      <c r="I34" s="6" t="str">
        <f t="shared" si="1"/>
        <v>mount</v>
      </c>
    </row>
    <row r="35" spans="1:10" x14ac:dyDescent="0.25">
      <c r="A35">
        <v>1</v>
      </c>
      <c r="B35" s="4">
        <v>0.36637731481481484</v>
      </c>
      <c r="C35" s="4"/>
      <c r="D35" s="5" t="s">
        <v>30</v>
      </c>
      <c r="E35" s="5" t="s">
        <v>14</v>
      </c>
      <c r="F35" s="6" t="s">
        <v>16</v>
      </c>
      <c r="G35" s="6" t="str">
        <f t="shared" si="2"/>
        <v>NA</v>
      </c>
      <c r="H35" s="14" t="s">
        <v>12</v>
      </c>
      <c r="I35" s="6" t="str">
        <f t="shared" si="1"/>
        <v>mount</v>
      </c>
    </row>
    <row r="36" spans="1:10" x14ac:dyDescent="0.25">
      <c r="A36">
        <v>1</v>
      </c>
      <c r="B36" s="4">
        <v>0.36982638888888886</v>
      </c>
      <c r="C36" s="4">
        <v>0.37157407407407406</v>
      </c>
      <c r="D36" s="5" t="s">
        <v>10</v>
      </c>
      <c r="E36" s="5" t="s">
        <v>21</v>
      </c>
      <c r="F36" s="6" t="s">
        <v>16</v>
      </c>
      <c r="G36" s="6" t="str">
        <f t="shared" si="2"/>
        <v>NA</v>
      </c>
      <c r="H36" s="14" t="s">
        <v>16</v>
      </c>
      <c r="I36" s="6" t="str">
        <f t="shared" si="1"/>
        <v>insemination</v>
      </c>
      <c r="J36" s="16"/>
    </row>
    <row r="37" spans="1:10" x14ac:dyDescent="0.25">
      <c r="A37">
        <v>1</v>
      </c>
      <c r="B37" s="4">
        <v>0.37027777777777776</v>
      </c>
      <c r="D37" s="5" t="s">
        <v>13</v>
      </c>
      <c r="E37" s="5" t="s">
        <v>31</v>
      </c>
      <c r="F37" s="6" t="s">
        <v>16</v>
      </c>
      <c r="G37" s="6" t="str">
        <f t="shared" si="2"/>
        <v>NA</v>
      </c>
      <c r="H37" s="14" t="s">
        <v>12</v>
      </c>
      <c r="I37" s="6" t="str">
        <f t="shared" si="1"/>
        <v>mount</v>
      </c>
    </row>
    <row r="38" spans="1:10" x14ac:dyDescent="0.25">
      <c r="A38">
        <v>1</v>
      </c>
      <c r="B38" s="4">
        <v>0.3778009259259259</v>
      </c>
      <c r="D38" s="5" t="s">
        <v>22</v>
      </c>
      <c r="E38" s="5" t="s">
        <v>11</v>
      </c>
      <c r="F38" s="6" t="s">
        <v>16</v>
      </c>
      <c r="G38" s="6" t="str">
        <f t="shared" si="2"/>
        <v>NA</v>
      </c>
      <c r="H38" s="14" t="s">
        <v>12</v>
      </c>
      <c r="I38" s="6" t="str">
        <f t="shared" si="1"/>
        <v>mount</v>
      </c>
      <c r="J38" t="s">
        <v>27</v>
      </c>
    </row>
    <row r="39" spans="1:10" x14ac:dyDescent="0.25">
      <c r="A39">
        <v>1</v>
      </c>
      <c r="B39" s="4">
        <v>0.37817129629629626</v>
      </c>
      <c r="D39" s="5" t="s">
        <v>10</v>
      </c>
      <c r="E39" s="5" t="s">
        <v>21</v>
      </c>
      <c r="F39" s="6" t="s">
        <v>16</v>
      </c>
      <c r="G39" s="6" t="str">
        <f t="shared" si="2"/>
        <v>NA</v>
      </c>
      <c r="H39" s="14" t="s">
        <v>12</v>
      </c>
      <c r="I39" s="6" t="str">
        <f t="shared" si="1"/>
        <v>mount</v>
      </c>
    </row>
    <row r="40" spans="1:10" x14ac:dyDescent="0.25">
      <c r="A40">
        <v>1</v>
      </c>
      <c r="B40" s="4">
        <v>0.37872685185185184</v>
      </c>
      <c r="C40" s="4">
        <v>0.37986111111111115</v>
      </c>
      <c r="D40" s="5" t="s">
        <v>26</v>
      </c>
      <c r="E40" s="5" t="s">
        <v>15</v>
      </c>
      <c r="F40" s="6" t="s">
        <v>16</v>
      </c>
      <c r="G40" s="6" t="str">
        <f t="shared" si="2"/>
        <v>NA</v>
      </c>
      <c r="H40" s="14" t="s">
        <v>16</v>
      </c>
      <c r="I40" s="6" t="str">
        <f t="shared" si="1"/>
        <v>insemination</v>
      </c>
      <c r="J40" s="17" t="s">
        <v>33</v>
      </c>
    </row>
    <row r="41" spans="1:10" x14ac:dyDescent="0.25">
      <c r="A41">
        <v>1</v>
      </c>
      <c r="B41" s="4">
        <v>0.38696759259259261</v>
      </c>
      <c r="C41" s="4"/>
      <c r="D41" s="5" t="s">
        <v>22</v>
      </c>
      <c r="E41" s="5" t="s">
        <v>11</v>
      </c>
      <c r="F41" s="6" t="s">
        <v>12</v>
      </c>
      <c r="G41" s="6" t="s">
        <v>12</v>
      </c>
      <c r="H41" s="14" t="str">
        <f t="shared" si="0"/>
        <v>NA</v>
      </c>
      <c r="I41" s="6" t="str">
        <f t="shared" si="1"/>
        <v>mount</v>
      </c>
    </row>
    <row r="42" spans="1:10" x14ac:dyDescent="0.25">
      <c r="A42">
        <v>1</v>
      </c>
      <c r="B42" s="4">
        <v>0.38748842592592592</v>
      </c>
      <c r="D42" s="5" t="s">
        <v>24</v>
      </c>
      <c r="E42" s="5" t="s">
        <v>29</v>
      </c>
      <c r="F42" s="6" t="s">
        <v>16</v>
      </c>
      <c r="G42" s="6" t="str">
        <f t="shared" si="2"/>
        <v>NA</v>
      </c>
      <c r="H42" s="14" t="s">
        <v>12</v>
      </c>
      <c r="I42" s="6" t="str">
        <f t="shared" si="1"/>
        <v>mount</v>
      </c>
    </row>
    <row r="43" spans="1:10" x14ac:dyDescent="0.25">
      <c r="A43">
        <v>1</v>
      </c>
      <c r="B43" s="4">
        <v>0.38791666666666669</v>
      </c>
      <c r="D43" s="5" t="s">
        <v>22</v>
      </c>
      <c r="E43" s="5" t="s">
        <v>11</v>
      </c>
      <c r="F43" s="6" t="s">
        <v>16</v>
      </c>
      <c r="G43" s="6" t="str">
        <f t="shared" si="2"/>
        <v>NA</v>
      </c>
      <c r="H43" s="14" t="s">
        <v>12</v>
      </c>
      <c r="I43" s="6" t="str">
        <f t="shared" si="1"/>
        <v>mount</v>
      </c>
      <c r="J43" t="s">
        <v>32</v>
      </c>
    </row>
    <row r="44" spans="1:10" x14ac:dyDescent="0.25">
      <c r="A44">
        <v>1</v>
      </c>
      <c r="B44" s="4">
        <v>0.38861111111111107</v>
      </c>
      <c r="D44" s="5" t="s">
        <v>22</v>
      </c>
      <c r="E44" s="5" t="s">
        <v>11</v>
      </c>
      <c r="F44" s="6" t="s">
        <v>16</v>
      </c>
      <c r="G44" s="6" t="str">
        <f t="shared" si="2"/>
        <v>NA</v>
      </c>
      <c r="H44" s="14" t="s">
        <v>12</v>
      </c>
      <c r="I44" s="6" t="str">
        <f t="shared" si="1"/>
        <v>mount</v>
      </c>
      <c r="J44" s="17" t="s">
        <v>32</v>
      </c>
    </row>
    <row r="45" spans="1:10" x14ac:dyDescent="0.25">
      <c r="A45">
        <v>1</v>
      </c>
      <c r="B45" s="4">
        <v>0.40513888888888888</v>
      </c>
      <c r="D45" s="5" t="s">
        <v>10</v>
      </c>
      <c r="E45" s="5" t="s">
        <v>20</v>
      </c>
      <c r="F45" s="6" t="s">
        <v>16</v>
      </c>
      <c r="G45" s="6" t="str">
        <f t="shared" si="2"/>
        <v>NA</v>
      </c>
      <c r="H45" s="14" t="s">
        <v>12</v>
      </c>
      <c r="I45" s="6" t="str">
        <f t="shared" si="1"/>
        <v>mount</v>
      </c>
    </row>
    <row r="46" spans="1:10" x14ac:dyDescent="0.25">
      <c r="A46">
        <v>1</v>
      </c>
      <c r="B46" s="4">
        <v>0.40858796296296296</v>
      </c>
      <c r="D46" s="5" t="s">
        <v>22</v>
      </c>
      <c r="E46" s="5" t="s">
        <v>11</v>
      </c>
      <c r="F46" s="6" t="s">
        <v>12</v>
      </c>
      <c r="G46" s="6" t="s">
        <v>12</v>
      </c>
      <c r="H46" s="14" t="str">
        <f t="shared" si="0"/>
        <v>NA</v>
      </c>
      <c r="I46" s="6" t="str">
        <f t="shared" si="1"/>
        <v>mount</v>
      </c>
      <c r="J46" s="16"/>
    </row>
    <row r="47" spans="1:10" x14ac:dyDescent="0.25">
      <c r="A47">
        <v>1</v>
      </c>
      <c r="B47" s="4">
        <v>0.41210648148148149</v>
      </c>
      <c r="D47" s="5" t="s">
        <v>22</v>
      </c>
      <c r="E47" s="5" t="s">
        <v>11</v>
      </c>
      <c r="F47" s="6" t="s">
        <v>12</v>
      </c>
      <c r="G47" s="6" t="s">
        <v>12</v>
      </c>
      <c r="H47" s="14" t="str">
        <f t="shared" si="0"/>
        <v>NA</v>
      </c>
      <c r="I47" s="6" t="str">
        <f t="shared" si="1"/>
        <v>mount</v>
      </c>
    </row>
    <row r="48" spans="1:10" x14ac:dyDescent="0.25">
      <c r="A48">
        <v>1</v>
      </c>
      <c r="B48" s="4">
        <v>0.43280092592592595</v>
      </c>
      <c r="D48" s="5" t="s">
        <v>22</v>
      </c>
      <c r="E48" s="5" t="s">
        <v>31</v>
      </c>
      <c r="F48" s="6" t="s">
        <v>16</v>
      </c>
      <c r="G48" s="6" t="str">
        <f t="shared" si="2"/>
        <v>NA</v>
      </c>
      <c r="H48" s="14" t="s">
        <v>12</v>
      </c>
      <c r="I48" s="6" t="str">
        <f t="shared" si="1"/>
        <v>mount</v>
      </c>
      <c r="J48" t="s">
        <v>27</v>
      </c>
    </row>
    <row r="49" spans="1:10" x14ac:dyDescent="0.25">
      <c r="A49">
        <v>1</v>
      </c>
      <c r="B49" s="4">
        <v>0.51451388888888883</v>
      </c>
      <c r="C49" s="4"/>
      <c r="D49" s="5" t="s">
        <v>30</v>
      </c>
      <c r="E49" s="5" t="s">
        <v>14</v>
      </c>
      <c r="F49" s="6" t="s">
        <v>16</v>
      </c>
      <c r="G49" s="6" t="str">
        <f>IF(F49 = "n", "NA", "")</f>
        <v>NA</v>
      </c>
      <c r="H49" s="14" t="s">
        <v>12</v>
      </c>
      <c r="I49" s="6" t="str">
        <f t="shared" si="1"/>
        <v>mount</v>
      </c>
      <c r="J49" s="16"/>
    </row>
    <row r="50" spans="1:10" x14ac:dyDescent="0.25">
      <c r="A50">
        <v>1</v>
      </c>
      <c r="B50" s="4">
        <v>0.52137731481481475</v>
      </c>
      <c r="D50" s="5" t="s">
        <v>22</v>
      </c>
      <c r="E50" s="5" t="s">
        <v>14</v>
      </c>
      <c r="F50" s="6" t="s">
        <v>16</v>
      </c>
      <c r="G50" s="6" t="str">
        <f>IF(F50 = "n", "NA", "")</f>
        <v>NA</v>
      </c>
      <c r="H50" s="14" t="s">
        <v>12</v>
      </c>
      <c r="I50" s="6" t="str">
        <f t="shared" si="1"/>
        <v>mount</v>
      </c>
      <c r="J50" s="17" t="s">
        <v>32</v>
      </c>
    </row>
    <row r="51" spans="1:10" x14ac:dyDescent="0.25">
      <c r="A51">
        <v>1</v>
      </c>
      <c r="B51" s="4">
        <v>0.52598379629629632</v>
      </c>
      <c r="C51" s="4"/>
      <c r="D51" s="5" t="s">
        <v>13</v>
      </c>
      <c r="E51" s="5" t="s">
        <v>18</v>
      </c>
      <c r="F51" s="6" t="s">
        <v>16</v>
      </c>
      <c r="G51" s="6" t="s">
        <v>17</v>
      </c>
      <c r="H51" s="14" t="s">
        <v>12</v>
      </c>
      <c r="I51" s="6" t="str">
        <f t="shared" si="1"/>
        <v>mount</v>
      </c>
    </row>
    <row r="52" spans="1:10" x14ac:dyDescent="0.25">
      <c r="A52">
        <v>1</v>
      </c>
      <c r="B52" s="4">
        <v>0.52765046296296292</v>
      </c>
      <c r="C52" s="4">
        <v>0.52819444444444441</v>
      </c>
      <c r="D52" s="5" t="s">
        <v>25</v>
      </c>
      <c r="E52" s="5" t="s">
        <v>29</v>
      </c>
      <c r="F52" s="6" t="s">
        <v>12</v>
      </c>
      <c r="G52" s="6" t="s">
        <v>16</v>
      </c>
      <c r="H52" s="14" t="s">
        <v>16</v>
      </c>
      <c r="I52" s="6" t="str">
        <f t="shared" si="1"/>
        <v>insemination</v>
      </c>
    </row>
    <row r="53" spans="1:10" x14ac:dyDescent="0.25">
      <c r="A53">
        <v>1</v>
      </c>
      <c r="B53" s="4">
        <v>0.54216435185185186</v>
      </c>
      <c r="D53" s="5" t="s">
        <v>30</v>
      </c>
      <c r="E53" s="5" t="s">
        <v>14</v>
      </c>
      <c r="F53" s="6" t="s">
        <v>12</v>
      </c>
      <c r="G53" s="6" t="s">
        <v>12</v>
      </c>
      <c r="H53" s="14" t="str">
        <f t="shared" si="0"/>
        <v>NA</v>
      </c>
      <c r="I53" s="6" t="str">
        <f t="shared" si="1"/>
        <v>mount</v>
      </c>
    </row>
    <row r="54" spans="1:10" x14ac:dyDescent="0.25">
      <c r="A54">
        <v>1</v>
      </c>
      <c r="B54" s="4">
        <v>0.56223379629629633</v>
      </c>
      <c r="D54" s="5" t="s">
        <v>22</v>
      </c>
      <c r="E54" s="5" t="s">
        <v>18</v>
      </c>
      <c r="F54" s="6" t="s">
        <v>16</v>
      </c>
      <c r="G54" s="6" t="str">
        <f t="shared" si="2"/>
        <v>NA</v>
      </c>
      <c r="H54" s="14" t="s">
        <v>12</v>
      </c>
      <c r="I54" s="6" t="str">
        <f t="shared" si="1"/>
        <v>mount</v>
      </c>
    </row>
    <row r="55" spans="1:10" x14ac:dyDescent="0.25">
      <c r="A55">
        <v>1</v>
      </c>
      <c r="B55" s="4">
        <v>0.56763888888888892</v>
      </c>
      <c r="D55" s="5" t="s">
        <v>13</v>
      </c>
      <c r="E55" s="5" t="s">
        <v>31</v>
      </c>
      <c r="F55" s="6" t="s">
        <v>16</v>
      </c>
      <c r="G55" s="6" t="str">
        <f t="shared" si="2"/>
        <v>NA</v>
      </c>
      <c r="H55" s="14" t="s">
        <v>12</v>
      </c>
      <c r="I55" s="6" t="str">
        <f t="shared" si="1"/>
        <v>mount</v>
      </c>
    </row>
    <row r="56" spans="1:10" x14ac:dyDescent="0.25">
      <c r="A56">
        <v>1</v>
      </c>
      <c r="B56" s="4">
        <v>0.57520833333333332</v>
      </c>
      <c r="D56" s="5" t="s">
        <v>13</v>
      </c>
      <c r="E56" s="5" t="s">
        <v>31</v>
      </c>
      <c r="F56" s="6" t="s">
        <v>16</v>
      </c>
      <c r="G56" s="6" t="str">
        <f t="shared" si="2"/>
        <v>NA</v>
      </c>
      <c r="H56" s="14" t="s">
        <v>12</v>
      </c>
      <c r="I56" s="6" t="str">
        <f t="shared" si="1"/>
        <v>mount</v>
      </c>
      <c r="J56" s="17" t="s">
        <v>34</v>
      </c>
    </row>
    <row r="57" spans="1:10" x14ac:dyDescent="0.25">
      <c r="A57">
        <v>1</v>
      </c>
      <c r="B57" s="4">
        <v>0.58870370370370373</v>
      </c>
      <c r="D57" s="5" t="s">
        <v>13</v>
      </c>
      <c r="E57" s="5" t="s">
        <v>31</v>
      </c>
      <c r="F57" s="6" t="s">
        <v>12</v>
      </c>
      <c r="G57" s="6" t="s">
        <v>12</v>
      </c>
      <c r="H57" s="14" t="str">
        <f t="shared" si="0"/>
        <v>NA</v>
      </c>
      <c r="I57" s="6" t="str">
        <f t="shared" si="1"/>
        <v>mount</v>
      </c>
    </row>
    <row r="58" spans="1:10" x14ac:dyDescent="0.25">
      <c r="A58">
        <v>1</v>
      </c>
      <c r="B58" s="4">
        <v>0.59686342592592589</v>
      </c>
      <c r="C58" s="4">
        <v>0.59710648148148149</v>
      </c>
      <c r="D58" s="5" t="s">
        <v>30</v>
      </c>
      <c r="E58" s="5" t="s">
        <v>14</v>
      </c>
      <c r="F58" s="6" t="s">
        <v>16</v>
      </c>
      <c r="G58" s="6" t="str">
        <f t="shared" si="2"/>
        <v>NA</v>
      </c>
      <c r="H58" s="14" t="s">
        <v>16</v>
      </c>
      <c r="I58" s="6" t="str">
        <f t="shared" si="1"/>
        <v>insemination</v>
      </c>
    </row>
    <row r="59" spans="1:10" x14ac:dyDescent="0.25">
      <c r="A59">
        <v>1</v>
      </c>
      <c r="B59" s="4">
        <v>0.60865740740740748</v>
      </c>
      <c r="D59" s="5" t="s">
        <v>26</v>
      </c>
      <c r="E59" s="5" t="s">
        <v>14</v>
      </c>
      <c r="F59" s="6" t="s">
        <v>12</v>
      </c>
      <c r="G59" s="6" t="s">
        <v>12</v>
      </c>
      <c r="H59" s="14" t="str">
        <f t="shared" si="0"/>
        <v>NA</v>
      </c>
      <c r="I59" s="6" t="str">
        <f t="shared" si="1"/>
        <v>mount</v>
      </c>
    </row>
    <row r="60" spans="1:10" x14ac:dyDescent="0.25">
      <c r="A60">
        <v>1</v>
      </c>
      <c r="B60" s="4">
        <v>0.63293981481481476</v>
      </c>
      <c r="C60" s="4">
        <v>0.63336805555555553</v>
      </c>
      <c r="D60" s="5" t="s">
        <v>26</v>
      </c>
      <c r="E60" s="5" t="s">
        <v>14</v>
      </c>
      <c r="F60" s="6" t="s">
        <v>16</v>
      </c>
      <c r="G60" s="6" t="str">
        <f t="shared" si="2"/>
        <v>NA</v>
      </c>
      <c r="H60" s="14" t="s">
        <v>16</v>
      </c>
      <c r="I60" s="6" t="str">
        <f t="shared" si="1"/>
        <v>insemination</v>
      </c>
    </row>
    <row r="61" spans="1:10" x14ac:dyDescent="0.25">
      <c r="A61">
        <v>1</v>
      </c>
      <c r="B61" s="4">
        <v>0.63481481481481483</v>
      </c>
      <c r="D61" s="5" t="s">
        <v>13</v>
      </c>
      <c r="E61" s="5" t="s">
        <v>31</v>
      </c>
      <c r="F61" s="6" t="s">
        <v>12</v>
      </c>
      <c r="G61" s="6" t="s">
        <v>12</v>
      </c>
      <c r="H61" s="14" t="str">
        <f t="shared" si="0"/>
        <v>NA</v>
      </c>
      <c r="I61" s="6" t="str">
        <f t="shared" si="1"/>
        <v>mount</v>
      </c>
    </row>
    <row r="62" spans="1:10" x14ac:dyDescent="0.25">
      <c r="A62">
        <v>1</v>
      </c>
      <c r="B62" s="4">
        <v>0.6355439814814815</v>
      </c>
      <c r="C62" s="4">
        <v>0.63608796296296299</v>
      </c>
      <c r="D62" s="5" t="s">
        <v>19</v>
      </c>
      <c r="E62" s="5" t="s">
        <v>14</v>
      </c>
      <c r="F62" s="6" t="s">
        <v>16</v>
      </c>
      <c r="G62" s="6" t="str">
        <f t="shared" si="2"/>
        <v>NA</v>
      </c>
      <c r="H62" s="14" t="s">
        <v>16</v>
      </c>
      <c r="I62" s="6" t="str">
        <f t="shared" si="1"/>
        <v>insemination</v>
      </c>
    </row>
    <row r="63" spans="1:10" x14ac:dyDescent="0.25">
      <c r="A63">
        <v>1</v>
      </c>
      <c r="B63" s="4">
        <v>0.6443402777777778</v>
      </c>
      <c r="D63" s="5" t="s">
        <v>26</v>
      </c>
      <c r="E63" s="5" t="s">
        <v>14</v>
      </c>
      <c r="F63" s="6" t="s">
        <v>16</v>
      </c>
      <c r="G63" s="6" t="str">
        <f t="shared" si="2"/>
        <v>NA</v>
      </c>
      <c r="H63" s="14" t="s">
        <v>12</v>
      </c>
      <c r="I63" s="6" t="str">
        <f t="shared" si="1"/>
        <v>mount</v>
      </c>
    </row>
    <row r="64" spans="1:10" x14ac:dyDescent="0.25">
      <c r="A64">
        <v>1</v>
      </c>
      <c r="B64" s="4">
        <v>0.65337962962962959</v>
      </c>
      <c r="C64" s="4">
        <v>0.6537384259259259</v>
      </c>
      <c r="D64" s="5" t="s">
        <v>25</v>
      </c>
      <c r="E64" s="5" t="s">
        <v>14</v>
      </c>
      <c r="F64" s="6" t="s">
        <v>12</v>
      </c>
      <c r="G64" s="6" t="s">
        <v>16</v>
      </c>
      <c r="H64" s="14" t="s">
        <v>16</v>
      </c>
      <c r="I64" s="6" t="str">
        <f t="shared" ref="I64:I102" si="3">IF(H64="n", "insemination", "mount")</f>
        <v>insemination</v>
      </c>
    </row>
    <row r="65" spans="1:10" x14ac:dyDescent="0.25">
      <c r="A65">
        <v>1</v>
      </c>
      <c r="B65" s="4">
        <v>0.65960648148148149</v>
      </c>
      <c r="D65" s="5" t="s">
        <v>13</v>
      </c>
      <c r="E65" s="5" t="s">
        <v>31</v>
      </c>
      <c r="F65" s="6" t="s">
        <v>12</v>
      </c>
      <c r="G65" s="6" t="s">
        <v>12</v>
      </c>
      <c r="H65" s="14" t="str">
        <f t="shared" ref="H65:H101" si="4">IF(G65 = "y", "NA", "")</f>
        <v>NA</v>
      </c>
      <c r="I65" s="6" t="str">
        <f t="shared" si="3"/>
        <v>mount</v>
      </c>
    </row>
    <row r="66" spans="1:10" x14ac:dyDescent="0.25">
      <c r="A66">
        <v>2</v>
      </c>
      <c r="B66" s="4">
        <v>0.34562500000000002</v>
      </c>
      <c r="C66" s="4">
        <v>0.34625</v>
      </c>
      <c r="D66" s="5" t="s">
        <v>26</v>
      </c>
      <c r="E66" s="5" t="s">
        <v>31</v>
      </c>
      <c r="F66" s="6" t="s">
        <v>16</v>
      </c>
      <c r="G66" s="6" t="str">
        <f t="shared" ref="G66:G102" si="5">IF(F66 = "n", "NA", "")</f>
        <v>NA</v>
      </c>
      <c r="H66" s="14" t="s">
        <v>16</v>
      </c>
      <c r="I66" s="6" t="str">
        <f t="shared" si="3"/>
        <v>insemination</v>
      </c>
    </row>
    <row r="67" spans="1:10" x14ac:dyDescent="0.25">
      <c r="A67">
        <v>2</v>
      </c>
      <c r="B67" s="4">
        <v>0.39734953703703701</v>
      </c>
      <c r="D67" s="5" t="s">
        <v>26</v>
      </c>
      <c r="E67" s="5" t="s">
        <v>18</v>
      </c>
      <c r="F67" s="6" t="s">
        <v>16</v>
      </c>
      <c r="G67" s="6" t="str">
        <f t="shared" si="5"/>
        <v>NA</v>
      </c>
      <c r="H67" s="14" t="s">
        <v>12</v>
      </c>
      <c r="I67" s="6" t="str">
        <f t="shared" si="3"/>
        <v>mount</v>
      </c>
    </row>
    <row r="68" spans="1:10" x14ac:dyDescent="0.25">
      <c r="A68">
        <v>2</v>
      </c>
      <c r="B68" s="4">
        <v>0.40494212962962961</v>
      </c>
      <c r="C68" s="4"/>
      <c r="D68" s="5" t="s">
        <v>30</v>
      </c>
      <c r="E68" s="5" t="s">
        <v>14</v>
      </c>
      <c r="F68" s="6" t="s">
        <v>16</v>
      </c>
      <c r="G68" s="6" t="str">
        <f t="shared" si="5"/>
        <v>NA</v>
      </c>
      <c r="H68" s="14" t="s">
        <v>12</v>
      </c>
      <c r="I68" s="6" t="str">
        <f t="shared" si="3"/>
        <v>mount</v>
      </c>
    </row>
    <row r="69" spans="1:10" x14ac:dyDescent="0.25">
      <c r="A69">
        <v>2</v>
      </c>
      <c r="B69" s="4">
        <v>0.41887731481481483</v>
      </c>
      <c r="C69" s="4">
        <v>0.4192939814814815</v>
      </c>
      <c r="D69" s="5" t="s">
        <v>26</v>
      </c>
      <c r="E69" s="5" t="s">
        <v>18</v>
      </c>
      <c r="F69" s="6" t="s">
        <v>16</v>
      </c>
      <c r="G69" s="6" t="str">
        <f t="shared" si="5"/>
        <v>NA</v>
      </c>
      <c r="H69" s="14" t="s">
        <v>16</v>
      </c>
      <c r="I69" s="6" t="str">
        <f t="shared" si="3"/>
        <v>insemination</v>
      </c>
    </row>
    <row r="70" spans="1:10" x14ac:dyDescent="0.25">
      <c r="A70">
        <v>2</v>
      </c>
      <c r="B70" s="4">
        <v>0.42447916666666669</v>
      </c>
      <c r="D70" s="5" t="s">
        <v>25</v>
      </c>
      <c r="E70" s="5" t="s">
        <v>31</v>
      </c>
      <c r="F70" s="6" t="s">
        <v>16</v>
      </c>
      <c r="G70" s="6" t="str">
        <f t="shared" si="5"/>
        <v>NA</v>
      </c>
      <c r="H70" s="14" t="s">
        <v>12</v>
      </c>
      <c r="I70" s="6" t="str">
        <f t="shared" si="3"/>
        <v>mount</v>
      </c>
    </row>
    <row r="71" spans="1:10" x14ac:dyDescent="0.25">
      <c r="A71">
        <v>2</v>
      </c>
      <c r="B71" s="4">
        <v>0.42792824074074076</v>
      </c>
      <c r="D71" s="5" t="s">
        <v>25</v>
      </c>
      <c r="E71" s="5" t="s">
        <v>31</v>
      </c>
      <c r="F71" s="6" t="s">
        <v>16</v>
      </c>
      <c r="G71" s="6" t="str">
        <f t="shared" si="5"/>
        <v>NA</v>
      </c>
      <c r="H71" s="14" t="s">
        <v>12</v>
      </c>
      <c r="I71" s="6" t="str">
        <f t="shared" si="3"/>
        <v>mount</v>
      </c>
      <c r="J71" s="16"/>
    </row>
    <row r="72" spans="1:10" x14ac:dyDescent="0.25">
      <c r="A72">
        <v>2</v>
      </c>
      <c r="B72" s="4">
        <v>0.44208333333333333</v>
      </c>
      <c r="D72" s="5" t="s">
        <v>13</v>
      </c>
      <c r="E72" s="5" t="s">
        <v>20</v>
      </c>
      <c r="F72" s="6" t="s">
        <v>12</v>
      </c>
      <c r="G72" s="6" t="s">
        <v>12</v>
      </c>
      <c r="H72" s="14" t="str">
        <f t="shared" si="4"/>
        <v>NA</v>
      </c>
      <c r="I72" s="6" t="str">
        <f t="shared" si="3"/>
        <v>mount</v>
      </c>
    </row>
    <row r="73" spans="1:10" x14ac:dyDescent="0.25">
      <c r="A73">
        <v>2</v>
      </c>
      <c r="B73" s="4">
        <v>0.4475810185185185</v>
      </c>
      <c r="D73" s="5" t="s">
        <v>13</v>
      </c>
      <c r="E73" s="5" t="s">
        <v>20</v>
      </c>
      <c r="F73" s="6" t="s">
        <v>12</v>
      </c>
      <c r="G73" s="6" t="s">
        <v>12</v>
      </c>
      <c r="H73" s="14" t="str">
        <f t="shared" si="4"/>
        <v>NA</v>
      </c>
      <c r="I73" s="6" t="str">
        <f t="shared" si="3"/>
        <v>mount</v>
      </c>
    </row>
    <row r="74" spans="1:10" x14ac:dyDescent="0.25">
      <c r="A74">
        <v>2</v>
      </c>
      <c r="B74" s="4">
        <v>0.45082175925925921</v>
      </c>
      <c r="D74" s="5" t="s">
        <v>30</v>
      </c>
      <c r="E74" s="5" t="s">
        <v>35</v>
      </c>
      <c r="F74" s="6" t="s">
        <v>16</v>
      </c>
      <c r="G74" s="6" t="str">
        <f t="shared" si="5"/>
        <v>NA</v>
      </c>
      <c r="H74" s="14" t="s">
        <v>12</v>
      </c>
      <c r="I74" s="6" t="str">
        <f t="shared" si="3"/>
        <v>mount</v>
      </c>
    </row>
    <row r="75" spans="1:10" x14ac:dyDescent="0.25">
      <c r="A75">
        <v>2</v>
      </c>
      <c r="B75" s="4">
        <v>0.45505787037037032</v>
      </c>
      <c r="C75" s="4"/>
      <c r="D75" s="5" t="s">
        <v>13</v>
      </c>
      <c r="E75" s="5" t="s">
        <v>20</v>
      </c>
      <c r="F75" s="6" t="s">
        <v>16</v>
      </c>
      <c r="G75" s="6" t="str">
        <f t="shared" si="5"/>
        <v>NA</v>
      </c>
      <c r="H75" s="14" t="s">
        <v>12</v>
      </c>
      <c r="I75" s="6" t="str">
        <f t="shared" si="3"/>
        <v>mount</v>
      </c>
    </row>
    <row r="76" spans="1:10" x14ac:dyDescent="0.25">
      <c r="A76">
        <v>2</v>
      </c>
      <c r="B76" s="4">
        <v>0.46733796296296298</v>
      </c>
      <c r="D76" s="5" t="s">
        <v>13</v>
      </c>
      <c r="E76" s="5" t="s">
        <v>20</v>
      </c>
      <c r="F76" s="6" t="s">
        <v>16</v>
      </c>
      <c r="G76" s="6" t="str">
        <f t="shared" si="5"/>
        <v>NA</v>
      </c>
      <c r="H76" s="14" t="s">
        <v>12</v>
      </c>
      <c r="I76" s="6" t="str">
        <f t="shared" si="3"/>
        <v>mount</v>
      </c>
    </row>
    <row r="77" spans="1:10" x14ac:dyDescent="0.25">
      <c r="A77">
        <v>2</v>
      </c>
      <c r="B77" s="4">
        <v>0.47321759259259261</v>
      </c>
      <c r="D77" s="5" t="s">
        <v>10</v>
      </c>
      <c r="E77" s="5" t="s">
        <v>20</v>
      </c>
      <c r="F77" s="6" t="s">
        <v>12</v>
      </c>
      <c r="G77" s="6" t="s">
        <v>12</v>
      </c>
      <c r="H77" s="14" t="str">
        <f t="shared" si="4"/>
        <v>NA</v>
      </c>
      <c r="I77" s="6" t="str">
        <f t="shared" si="3"/>
        <v>mount</v>
      </c>
    </row>
    <row r="78" spans="1:10" x14ac:dyDescent="0.25">
      <c r="A78">
        <v>2</v>
      </c>
      <c r="B78" s="4">
        <v>0.49417824074074074</v>
      </c>
      <c r="D78" s="5" t="s">
        <v>13</v>
      </c>
      <c r="E78" s="5" t="s">
        <v>20</v>
      </c>
      <c r="F78" s="6" t="s">
        <v>12</v>
      </c>
      <c r="G78" s="6" t="s">
        <v>12</v>
      </c>
      <c r="H78" s="14" t="str">
        <f t="shared" si="4"/>
        <v>NA</v>
      </c>
      <c r="I78" s="6" t="str">
        <f t="shared" si="3"/>
        <v>mount</v>
      </c>
    </row>
    <row r="79" spans="1:10" x14ac:dyDescent="0.25">
      <c r="A79">
        <v>2</v>
      </c>
      <c r="B79" s="4">
        <v>0.5125925925925926</v>
      </c>
      <c r="D79" s="5" t="s">
        <v>26</v>
      </c>
      <c r="E79" s="5" t="s">
        <v>11</v>
      </c>
      <c r="F79" s="6" t="s">
        <v>12</v>
      </c>
      <c r="G79" s="6" t="s">
        <v>12</v>
      </c>
      <c r="H79" s="14" t="str">
        <f t="shared" si="4"/>
        <v>NA</v>
      </c>
      <c r="I79" s="6" t="str">
        <f t="shared" si="3"/>
        <v>mount</v>
      </c>
    </row>
    <row r="80" spans="1:10" x14ac:dyDescent="0.25">
      <c r="A80">
        <v>2</v>
      </c>
      <c r="B80" s="4">
        <v>0.52738425925925925</v>
      </c>
      <c r="D80" s="5" t="s">
        <v>22</v>
      </c>
      <c r="E80" s="5" t="s">
        <v>14</v>
      </c>
      <c r="F80" s="6" t="s">
        <v>16</v>
      </c>
      <c r="G80" s="6" t="str">
        <f t="shared" si="5"/>
        <v>NA</v>
      </c>
      <c r="H80" s="14" t="s">
        <v>12</v>
      </c>
      <c r="I80" s="6" t="str">
        <f t="shared" si="3"/>
        <v>mount</v>
      </c>
      <c r="J80" s="17" t="s">
        <v>36</v>
      </c>
    </row>
    <row r="81" spans="1:10" x14ac:dyDescent="0.25">
      <c r="A81">
        <v>2</v>
      </c>
      <c r="B81" s="4">
        <v>0.53214120370370377</v>
      </c>
      <c r="C81" s="4"/>
      <c r="D81" s="5" t="s">
        <v>30</v>
      </c>
      <c r="E81" s="5" t="s">
        <v>14</v>
      </c>
      <c r="F81" s="6" t="s">
        <v>16</v>
      </c>
      <c r="G81" s="6" t="str">
        <f t="shared" si="5"/>
        <v>NA</v>
      </c>
      <c r="H81" s="14" t="s">
        <v>12</v>
      </c>
      <c r="I81" s="6" t="str">
        <f t="shared" si="3"/>
        <v>mount</v>
      </c>
      <c r="J81" s="16"/>
    </row>
    <row r="82" spans="1:10" x14ac:dyDescent="0.25">
      <c r="A82">
        <v>2</v>
      </c>
      <c r="B82" s="4">
        <v>0.57209490740740743</v>
      </c>
      <c r="D82" s="5" t="s">
        <v>25</v>
      </c>
      <c r="E82" s="5" t="s">
        <v>31</v>
      </c>
      <c r="F82" s="6" t="s">
        <v>12</v>
      </c>
      <c r="G82" s="6" t="s">
        <v>12</v>
      </c>
      <c r="H82" s="14" t="str">
        <f t="shared" si="4"/>
        <v>NA</v>
      </c>
      <c r="I82" s="6" t="str">
        <f t="shared" si="3"/>
        <v>mount</v>
      </c>
      <c r="J82" s="17" t="s">
        <v>37</v>
      </c>
    </row>
    <row r="83" spans="1:10" x14ac:dyDescent="0.25">
      <c r="A83">
        <v>2</v>
      </c>
      <c r="B83" s="4">
        <v>0.58908564814814812</v>
      </c>
      <c r="D83" s="5" t="s">
        <v>25</v>
      </c>
      <c r="E83" s="5" t="s">
        <v>31</v>
      </c>
      <c r="F83" s="6" t="s">
        <v>12</v>
      </c>
      <c r="G83" s="6" t="s">
        <v>12</v>
      </c>
      <c r="H83" s="14" t="str">
        <f t="shared" si="4"/>
        <v>NA</v>
      </c>
      <c r="I83" s="6" t="str">
        <f t="shared" si="3"/>
        <v>mount</v>
      </c>
    </row>
    <row r="84" spans="1:10" x14ac:dyDescent="0.25">
      <c r="A84">
        <v>2</v>
      </c>
      <c r="B84" s="4">
        <v>0.5975462962962963</v>
      </c>
      <c r="C84" s="4">
        <v>0.59798611111111111</v>
      </c>
      <c r="D84" s="5" t="s">
        <v>19</v>
      </c>
      <c r="E84" s="5" t="s">
        <v>18</v>
      </c>
      <c r="F84" s="6" t="s">
        <v>16</v>
      </c>
      <c r="G84" s="6" t="str">
        <f t="shared" si="5"/>
        <v>NA</v>
      </c>
      <c r="H84" s="14" t="s">
        <v>16</v>
      </c>
      <c r="I84" s="6" t="str">
        <f t="shared" si="3"/>
        <v>insemination</v>
      </c>
    </row>
    <row r="85" spans="1:10" x14ac:dyDescent="0.25">
      <c r="A85">
        <v>2</v>
      </c>
      <c r="B85" s="4">
        <v>0.60457175925925932</v>
      </c>
      <c r="D85" s="5" t="s">
        <v>19</v>
      </c>
      <c r="E85" s="5" t="s">
        <v>11</v>
      </c>
      <c r="F85" s="6" t="s">
        <v>12</v>
      </c>
      <c r="G85" s="6" t="s">
        <v>12</v>
      </c>
      <c r="H85" s="14" t="str">
        <f t="shared" si="4"/>
        <v>NA</v>
      </c>
      <c r="I85" s="6" t="str">
        <f t="shared" si="3"/>
        <v>mount</v>
      </c>
    </row>
    <row r="86" spans="1:10" x14ac:dyDescent="0.25">
      <c r="A86">
        <v>2</v>
      </c>
      <c r="B86" s="4">
        <v>0.60478009259259258</v>
      </c>
      <c r="D86" s="5" t="s">
        <v>25</v>
      </c>
      <c r="E86" s="5" t="s">
        <v>15</v>
      </c>
      <c r="F86" s="6" t="s">
        <v>12</v>
      </c>
      <c r="G86" s="6" t="s">
        <v>12</v>
      </c>
      <c r="H86" s="14" t="str">
        <f t="shared" si="4"/>
        <v>NA</v>
      </c>
      <c r="I86" s="6" t="str">
        <f t="shared" si="3"/>
        <v>mount</v>
      </c>
    </row>
    <row r="87" spans="1:10" x14ac:dyDescent="0.25">
      <c r="A87">
        <v>2</v>
      </c>
      <c r="B87" s="4">
        <v>0.6055787037037037</v>
      </c>
      <c r="D87" s="5" t="s">
        <v>22</v>
      </c>
      <c r="E87" s="5" t="s">
        <v>14</v>
      </c>
      <c r="F87" s="6" t="s">
        <v>16</v>
      </c>
      <c r="G87" s="6" t="str">
        <f t="shared" si="5"/>
        <v>NA</v>
      </c>
      <c r="H87" s="14" t="s">
        <v>12</v>
      </c>
      <c r="I87" s="6" t="str">
        <f t="shared" si="3"/>
        <v>mount</v>
      </c>
      <c r="J87" s="17" t="s">
        <v>36</v>
      </c>
    </row>
    <row r="88" spans="1:10" x14ac:dyDescent="0.25">
      <c r="A88">
        <v>2</v>
      </c>
      <c r="B88" s="4">
        <v>0.60835648148148147</v>
      </c>
      <c r="C88" s="4">
        <v>0.60866898148148152</v>
      </c>
      <c r="D88" s="5" t="s">
        <v>19</v>
      </c>
      <c r="E88" s="5" t="s">
        <v>31</v>
      </c>
      <c r="F88" s="6" t="s">
        <v>16</v>
      </c>
      <c r="G88" s="6" t="str">
        <f t="shared" si="5"/>
        <v>NA</v>
      </c>
      <c r="H88" s="14" t="s">
        <v>16</v>
      </c>
      <c r="I88" s="6" t="str">
        <f t="shared" si="3"/>
        <v>insemination</v>
      </c>
    </row>
    <row r="89" spans="1:10" x14ac:dyDescent="0.25">
      <c r="A89">
        <v>2</v>
      </c>
      <c r="B89" s="4">
        <v>0.60901620370370368</v>
      </c>
      <c r="D89" s="5" t="s">
        <v>19</v>
      </c>
      <c r="E89" s="5" t="s">
        <v>11</v>
      </c>
      <c r="F89" s="6" t="s">
        <v>12</v>
      </c>
      <c r="G89" s="6" t="s">
        <v>12</v>
      </c>
      <c r="H89" s="14" t="str">
        <f t="shared" si="4"/>
        <v>NA</v>
      </c>
      <c r="I89" s="6" t="str">
        <f t="shared" si="3"/>
        <v>mount</v>
      </c>
    </row>
    <row r="90" spans="1:10" x14ac:dyDescent="0.25">
      <c r="A90">
        <v>2</v>
      </c>
      <c r="B90" s="4">
        <v>0.61569444444444443</v>
      </c>
      <c r="D90" s="5" t="s">
        <v>30</v>
      </c>
      <c r="E90" s="5" t="s">
        <v>14</v>
      </c>
      <c r="F90" s="6" t="s">
        <v>12</v>
      </c>
      <c r="G90" s="6" t="s">
        <v>12</v>
      </c>
      <c r="H90" s="14" t="str">
        <f t="shared" si="4"/>
        <v>NA</v>
      </c>
      <c r="I90" s="6" t="str">
        <f t="shared" si="3"/>
        <v>mount</v>
      </c>
    </row>
    <row r="91" spans="1:10" x14ac:dyDescent="0.25">
      <c r="A91">
        <v>2</v>
      </c>
      <c r="B91" s="4">
        <v>0.61760416666666662</v>
      </c>
      <c r="D91" s="5" t="s">
        <v>22</v>
      </c>
      <c r="E91" s="5" t="s">
        <v>21</v>
      </c>
      <c r="F91" s="6" t="s">
        <v>16</v>
      </c>
      <c r="G91" s="6" t="str">
        <f t="shared" si="5"/>
        <v>NA</v>
      </c>
      <c r="H91" s="14" t="s">
        <v>12</v>
      </c>
      <c r="I91" s="6" t="str">
        <f t="shared" si="3"/>
        <v>mount</v>
      </c>
    </row>
    <row r="92" spans="1:10" x14ac:dyDescent="0.25">
      <c r="A92">
        <v>2</v>
      </c>
      <c r="B92" s="4">
        <v>0.62646990740740738</v>
      </c>
      <c r="D92" s="5" t="s">
        <v>13</v>
      </c>
      <c r="E92" s="5" t="s">
        <v>11</v>
      </c>
      <c r="F92" s="6" t="s">
        <v>16</v>
      </c>
      <c r="G92" s="6" t="str">
        <f t="shared" si="5"/>
        <v>NA</v>
      </c>
      <c r="H92" s="14" t="s">
        <v>12</v>
      </c>
      <c r="I92" s="6" t="str">
        <f t="shared" si="3"/>
        <v>mount</v>
      </c>
      <c r="J92" s="16"/>
    </row>
    <row r="93" spans="1:10" x14ac:dyDescent="0.25">
      <c r="A93">
        <v>2</v>
      </c>
      <c r="B93" s="4">
        <v>0.62943287037037032</v>
      </c>
      <c r="C93" s="4">
        <v>0.62989583333333332</v>
      </c>
      <c r="D93" s="5" t="s">
        <v>25</v>
      </c>
      <c r="E93" s="5" t="s">
        <v>31</v>
      </c>
      <c r="F93" s="6" t="s">
        <v>16</v>
      </c>
      <c r="G93" s="6" t="str">
        <f t="shared" si="5"/>
        <v>NA</v>
      </c>
      <c r="H93" s="14" t="s">
        <v>16</v>
      </c>
      <c r="I93" s="6" t="str">
        <f t="shared" si="3"/>
        <v>insemination</v>
      </c>
    </row>
    <row r="94" spans="1:10" x14ac:dyDescent="0.25">
      <c r="A94">
        <v>2</v>
      </c>
      <c r="B94" s="4">
        <v>0.63162037037037033</v>
      </c>
      <c r="D94" s="5" t="s">
        <v>10</v>
      </c>
      <c r="E94" s="5" t="s">
        <v>20</v>
      </c>
      <c r="F94" s="6" t="s">
        <v>12</v>
      </c>
      <c r="G94" s="6" t="s">
        <v>12</v>
      </c>
      <c r="H94" s="14" t="str">
        <f t="shared" si="4"/>
        <v>NA</v>
      </c>
      <c r="I94" s="6" t="str">
        <f t="shared" si="3"/>
        <v>mount</v>
      </c>
      <c r="J94" s="17" t="s">
        <v>37</v>
      </c>
    </row>
    <row r="95" spans="1:10" x14ac:dyDescent="0.25">
      <c r="A95">
        <v>2</v>
      </c>
      <c r="B95" s="4">
        <v>0.63249999999999995</v>
      </c>
      <c r="D95" s="5" t="s">
        <v>13</v>
      </c>
      <c r="E95" s="5" t="s">
        <v>11</v>
      </c>
      <c r="F95" s="6" t="s">
        <v>16</v>
      </c>
      <c r="G95" s="6" t="str">
        <f t="shared" si="5"/>
        <v>NA</v>
      </c>
      <c r="H95" s="14" t="s">
        <v>12</v>
      </c>
      <c r="I95" s="6" t="str">
        <f t="shared" si="3"/>
        <v>mount</v>
      </c>
    </row>
    <row r="96" spans="1:10" x14ac:dyDescent="0.25">
      <c r="A96">
        <v>2</v>
      </c>
      <c r="B96" s="4">
        <v>0.63355324074074071</v>
      </c>
      <c r="D96" s="5" t="s">
        <v>13</v>
      </c>
      <c r="E96" s="5" t="s">
        <v>11</v>
      </c>
      <c r="F96" s="6" t="s">
        <v>12</v>
      </c>
      <c r="G96" s="6" t="s">
        <v>12</v>
      </c>
      <c r="H96" s="14" t="str">
        <f t="shared" si="4"/>
        <v>NA</v>
      </c>
      <c r="I96" s="6" t="str">
        <f t="shared" si="3"/>
        <v>mount</v>
      </c>
    </row>
    <row r="97" spans="1:10" x14ac:dyDescent="0.25">
      <c r="A97">
        <v>2</v>
      </c>
      <c r="B97" s="4">
        <v>0.63685185185185189</v>
      </c>
      <c r="D97" s="5" t="s">
        <v>24</v>
      </c>
      <c r="E97" s="5" t="s">
        <v>11</v>
      </c>
      <c r="F97" s="6" t="s">
        <v>16</v>
      </c>
      <c r="G97" s="6" t="s">
        <v>17</v>
      </c>
      <c r="H97" s="14" t="s">
        <v>12</v>
      </c>
      <c r="I97" s="6" t="str">
        <f t="shared" si="3"/>
        <v>mount</v>
      </c>
    </row>
    <row r="98" spans="1:10" x14ac:dyDescent="0.25">
      <c r="A98">
        <v>2</v>
      </c>
      <c r="B98" s="4">
        <v>0.64550925925925928</v>
      </c>
      <c r="D98" s="5" t="s">
        <v>22</v>
      </c>
      <c r="E98" s="5" t="s">
        <v>31</v>
      </c>
      <c r="F98" s="6" t="s">
        <v>16</v>
      </c>
      <c r="G98" s="6" t="str">
        <f t="shared" si="5"/>
        <v>NA</v>
      </c>
      <c r="H98" s="14" t="s">
        <v>12</v>
      </c>
      <c r="I98" s="6" t="str">
        <f t="shared" si="3"/>
        <v>mount</v>
      </c>
      <c r="J98" s="17" t="s">
        <v>36</v>
      </c>
    </row>
    <row r="99" spans="1:10" x14ac:dyDescent="0.25">
      <c r="A99">
        <v>2</v>
      </c>
      <c r="B99" s="4">
        <v>0.64626157407407414</v>
      </c>
      <c r="D99" s="5" t="s">
        <v>30</v>
      </c>
      <c r="E99" s="5" t="s">
        <v>31</v>
      </c>
      <c r="F99" s="6" t="s">
        <v>12</v>
      </c>
      <c r="G99" s="6" t="s">
        <v>12</v>
      </c>
      <c r="H99" s="14" t="str">
        <f t="shared" si="4"/>
        <v>NA</v>
      </c>
      <c r="I99" s="6" t="str">
        <f t="shared" si="3"/>
        <v>mount</v>
      </c>
    </row>
    <row r="100" spans="1:10" x14ac:dyDescent="0.25">
      <c r="A100">
        <v>2</v>
      </c>
      <c r="B100" s="4">
        <v>0.66165509259259259</v>
      </c>
      <c r="D100" s="5" t="s">
        <v>24</v>
      </c>
      <c r="E100" s="5" t="s">
        <v>31</v>
      </c>
      <c r="F100" s="6" t="s">
        <v>16</v>
      </c>
      <c r="G100" s="6" t="str">
        <f t="shared" si="5"/>
        <v>NA</v>
      </c>
      <c r="H100" s="14" t="s">
        <v>12</v>
      </c>
      <c r="I100" s="6" t="str">
        <f t="shared" si="3"/>
        <v>mount</v>
      </c>
    </row>
    <row r="101" spans="1:10" x14ac:dyDescent="0.25">
      <c r="A101">
        <v>2</v>
      </c>
      <c r="B101" s="4">
        <v>0.66248842592592594</v>
      </c>
      <c r="D101" s="5" t="s">
        <v>13</v>
      </c>
      <c r="E101" s="5" t="s">
        <v>31</v>
      </c>
      <c r="F101" s="6" t="s">
        <v>12</v>
      </c>
      <c r="G101" s="6" t="s">
        <v>12</v>
      </c>
      <c r="H101" s="14" t="str">
        <f t="shared" si="4"/>
        <v>NA</v>
      </c>
      <c r="I101" s="6" t="str">
        <f t="shared" si="3"/>
        <v>mount</v>
      </c>
    </row>
    <row r="102" spans="1:10" x14ac:dyDescent="0.25">
      <c r="A102">
        <v>2</v>
      </c>
      <c r="B102" s="4">
        <v>0.66263888888888889</v>
      </c>
      <c r="D102" s="5" t="s">
        <v>24</v>
      </c>
      <c r="E102" s="5" t="s">
        <v>20</v>
      </c>
      <c r="F102" s="6" t="s">
        <v>16</v>
      </c>
      <c r="G102" s="6" t="str">
        <f t="shared" si="5"/>
        <v>NA</v>
      </c>
      <c r="H102" s="14" t="s">
        <v>12</v>
      </c>
      <c r="I102" s="6" t="str">
        <f t="shared" si="3"/>
        <v>mount</v>
      </c>
    </row>
    <row r="103" spans="1:10" x14ac:dyDescent="0.25">
      <c r="G103" s="6" t="str">
        <f t="shared" ref="G103:G140" si="6">IF(F103 = "n", "NA", "")</f>
        <v/>
      </c>
      <c r="H103" s="14" t="str">
        <f t="shared" ref="H103:H140" si="7">IF(G103 = "y", "NA", "")</f>
        <v/>
      </c>
    </row>
    <row r="104" spans="1:10" x14ac:dyDescent="0.25">
      <c r="G104" s="6" t="str">
        <f t="shared" si="6"/>
        <v/>
      </c>
      <c r="H104" s="14" t="str">
        <f t="shared" si="7"/>
        <v/>
      </c>
    </row>
    <row r="105" spans="1:10" x14ac:dyDescent="0.25">
      <c r="G105" s="6" t="str">
        <f t="shared" si="6"/>
        <v/>
      </c>
      <c r="H105" s="14" t="str">
        <f t="shared" si="7"/>
        <v/>
      </c>
    </row>
    <row r="106" spans="1:10" x14ac:dyDescent="0.25">
      <c r="G106" s="6" t="str">
        <f t="shared" si="6"/>
        <v/>
      </c>
      <c r="H106" s="14" t="str">
        <f t="shared" si="7"/>
        <v/>
      </c>
    </row>
    <row r="107" spans="1:10" x14ac:dyDescent="0.25">
      <c r="G107" s="6" t="str">
        <f t="shared" si="6"/>
        <v/>
      </c>
      <c r="H107" s="14" t="str">
        <f t="shared" si="7"/>
        <v/>
      </c>
    </row>
    <row r="108" spans="1:10" x14ac:dyDescent="0.25">
      <c r="G108" s="6" t="str">
        <f t="shared" si="6"/>
        <v/>
      </c>
      <c r="H108" s="14" t="str">
        <f t="shared" si="7"/>
        <v/>
      </c>
    </row>
    <row r="109" spans="1:10" x14ac:dyDescent="0.25">
      <c r="G109" s="6" t="str">
        <f t="shared" si="6"/>
        <v/>
      </c>
      <c r="H109" s="14" t="str">
        <f t="shared" si="7"/>
        <v/>
      </c>
    </row>
    <row r="110" spans="1:10" x14ac:dyDescent="0.25">
      <c r="G110" s="6" t="str">
        <f t="shared" si="6"/>
        <v/>
      </c>
      <c r="H110" s="14" t="str">
        <f t="shared" si="7"/>
        <v/>
      </c>
    </row>
    <row r="111" spans="1:10" x14ac:dyDescent="0.25">
      <c r="G111" s="6" t="str">
        <f t="shared" si="6"/>
        <v/>
      </c>
      <c r="H111" s="14" t="str">
        <f t="shared" si="7"/>
        <v/>
      </c>
    </row>
    <row r="112" spans="1:10" x14ac:dyDescent="0.25">
      <c r="G112" s="6" t="str">
        <f t="shared" si="6"/>
        <v/>
      </c>
      <c r="H112" s="14" t="str">
        <f t="shared" si="7"/>
        <v/>
      </c>
    </row>
    <row r="113" spans="7:8" x14ac:dyDescent="0.25">
      <c r="G113" s="6" t="str">
        <f t="shared" si="6"/>
        <v/>
      </c>
      <c r="H113" s="14" t="str">
        <f t="shared" si="7"/>
        <v/>
      </c>
    </row>
    <row r="114" spans="7:8" x14ac:dyDescent="0.25">
      <c r="G114" s="6" t="str">
        <f t="shared" si="6"/>
        <v/>
      </c>
      <c r="H114" s="14" t="str">
        <f t="shared" si="7"/>
        <v/>
      </c>
    </row>
    <row r="115" spans="7:8" x14ac:dyDescent="0.25">
      <c r="G115" s="6" t="str">
        <f t="shared" si="6"/>
        <v/>
      </c>
      <c r="H115" s="14" t="str">
        <f t="shared" si="7"/>
        <v/>
      </c>
    </row>
    <row r="116" spans="7:8" x14ac:dyDescent="0.25">
      <c r="G116" s="6" t="str">
        <f t="shared" si="6"/>
        <v/>
      </c>
      <c r="H116" s="14" t="str">
        <f t="shared" si="7"/>
        <v/>
      </c>
    </row>
    <row r="117" spans="7:8" x14ac:dyDescent="0.25">
      <c r="G117" s="6" t="str">
        <f t="shared" si="6"/>
        <v/>
      </c>
      <c r="H117" s="14" t="str">
        <f t="shared" si="7"/>
        <v/>
      </c>
    </row>
    <row r="118" spans="7:8" x14ac:dyDescent="0.25">
      <c r="G118" s="6" t="str">
        <f t="shared" si="6"/>
        <v/>
      </c>
      <c r="H118" s="14" t="str">
        <f t="shared" si="7"/>
        <v/>
      </c>
    </row>
    <row r="119" spans="7:8" x14ac:dyDescent="0.25">
      <c r="G119" s="6" t="str">
        <f t="shared" si="6"/>
        <v/>
      </c>
      <c r="H119" s="14" t="str">
        <f t="shared" si="7"/>
        <v/>
      </c>
    </row>
    <row r="120" spans="7:8" x14ac:dyDescent="0.25">
      <c r="G120" s="6" t="str">
        <f t="shared" si="6"/>
        <v/>
      </c>
      <c r="H120" s="14" t="str">
        <f t="shared" si="7"/>
        <v/>
      </c>
    </row>
    <row r="121" spans="7:8" x14ac:dyDescent="0.25">
      <c r="G121" s="6" t="str">
        <f t="shared" si="6"/>
        <v/>
      </c>
      <c r="H121" s="14" t="str">
        <f t="shared" si="7"/>
        <v/>
      </c>
    </row>
    <row r="122" spans="7:8" x14ac:dyDescent="0.25">
      <c r="G122" s="6" t="str">
        <f t="shared" si="6"/>
        <v/>
      </c>
      <c r="H122" s="14" t="str">
        <f t="shared" si="7"/>
        <v/>
      </c>
    </row>
    <row r="123" spans="7:8" x14ac:dyDescent="0.25">
      <c r="G123" s="6" t="str">
        <f t="shared" si="6"/>
        <v/>
      </c>
      <c r="H123" s="14" t="str">
        <f t="shared" si="7"/>
        <v/>
      </c>
    </row>
    <row r="124" spans="7:8" x14ac:dyDescent="0.25">
      <c r="G124" s="6" t="str">
        <f t="shared" si="6"/>
        <v/>
      </c>
      <c r="H124" s="14" t="str">
        <f t="shared" si="7"/>
        <v/>
      </c>
    </row>
    <row r="125" spans="7:8" x14ac:dyDescent="0.25">
      <c r="G125" s="6" t="str">
        <f t="shared" si="6"/>
        <v/>
      </c>
      <c r="H125" s="14" t="str">
        <f t="shared" si="7"/>
        <v/>
      </c>
    </row>
    <row r="126" spans="7:8" x14ac:dyDescent="0.25">
      <c r="G126" s="6" t="str">
        <f t="shared" si="6"/>
        <v/>
      </c>
      <c r="H126" s="14" t="str">
        <f t="shared" si="7"/>
        <v/>
      </c>
    </row>
    <row r="127" spans="7:8" x14ac:dyDescent="0.25">
      <c r="G127" s="6" t="str">
        <f t="shared" si="6"/>
        <v/>
      </c>
      <c r="H127" s="14" t="str">
        <f t="shared" si="7"/>
        <v/>
      </c>
    </row>
    <row r="128" spans="7:8" x14ac:dyDescent="0.25">
      <c r="G128" s="6" t="str">
        <f t="shared" si="6"/>
        <v/>
      </c>
      <c r="H128" s="14" t="str">
        <f t="shared" si="7"/>
        <v/>
      </c>
    </row>
    <row r="129" spans="7:8" x14ac:dyDescent="0.25">
      <c r="G129" s="6" t="str">
        <f t="shared" si="6"/>
        <v/>
      </c>
      <c r="H129" s="14" t="str">
        <f t="shared" si="7"/>
        <v/>
      </c>
    </row>
    <row r="130" spans="7:8" x14ac:dyDescent="0.25">
      <c r="G130" s="6" t="str">
        <f t="shared" si="6"/>
        <v/>
      </c>
      <c r="H130" s="14" t="str">
        <f t="shared" si="7"/>
        <v/>
      </c>
    </row>
    <row r="131" spans="7:8" x14ac:dyDescent="0.25">
      <c r="G131" s="6" t="str">
        <f t="shared" si="6"/>
        <v/>
      </c>
      <c r="H131" s="14" t="str">
        <f t="shared" si="7"/>
        <v/>
      </c>
    </row>
    <row r="132" spans="7:8" x14ac:dyDescent="0.25">
      <c r="G132" s="6" t="str">
        <f t="shared" si="6"/>
        <v/>
      </c>
      <c r="H132" s="14" t="str">
        <f t="shared" si="7"/>
        <v/>
      </c>
    </row>
    <row r="133" spans="7:8" x14ac:dyDescent="0.25">
      <c r="G133" s="6" t="str">
        <f t="shared" si="6"/>
        <v/>
      </c>
      <c r="H133" s="14" t="str">
        <f t="shared" si="7"/>
        <v/>
      </c>
    </row>
    <row r="134" spans="7:8" x14ac:dyDescent="0.25">
      <c r="G134" s="6" t="str">
        <f t="shared" si="6"/>
        <v/>
      </c>
      <c r="H134" s="14" t="str">
        <f t="shared" si="7"/>
        <v/>
      </c>
    </row>
    <row r="135" spans="7:8" x14ac:dyDescent="0.25">
      <c r="G135" s="6" t="str">
        <f t="shared" si="6"/>
        <v/>
      </c>
      <c r="H135" s="14" t="str">
        <f t="shared" si="7"/>
        <v/>
      </c>
    </row>
    <row r="136" spans="7:8" x14ac:dyDescent="0.25">
      <c r="G136" s="6" t="str">
        <f t="shared" si="6"/>
        <v/>
      </c>
      <c r="H136" s="14" t="str">
        <f t="shared" si="7"/>
        <v/>
      </c>
    </row>
    <row r="137" spans="7:8" x14ac:dyDescent="0.25">
      <c r="G137" s="6" t="str">
        <f t="shared" si="6"/>
        <v/>
      </c>
      <c r="H137" s="14" t="str">
        <f t="shared" si="7"/>
        <v/>
      </c>
    </row>
    <row r="138" spans="7:8" x14ac:dyDescent="0.25">
      <c r="G138" s="6" t="str">
        <f t="shared" si="6"/>
        <v/>
      </c>
      <c r="H138" s="14" t="str">
        <f t="shared" si="7"/>
        <v/>
      </c>
    </row>
    <row r="139" spans="7:8" x14ac:dyDescent="0.25">
      <c r="G139" s="6" t="str">
        <f t="shared" si="6"/>
        <v/>
      </c>
      <c r="H139" s="14" t="str">
        <f t="shared" si="7"/>
        <v/>
      </c>
    </row>
    <row r="140" spans="7:8" x14ac:dyDescent="0.25">
      <c r="G140" s="6" t="str">
        <f t="shared" si="6"/>
        <v/>
      </c>
      <c r="H140" s="14" t="str">
        <f t="shared" si="7"/>
        <v/>
      </c>
    </row>
    <row r="141" spans="7:8" x14ac:dyDescent="0.25">
      <c r="G141" s="6" t="str">
        <f t="shared" ref="G141:G204" si="8">IF(F141 = "n", "NA", "")</f>
        <v/>
      </c>
      <c r="H141" s="14" t="str">
        <f t="shared" ref="H141:H204" si="9">IF(G141 = "y", "NA", "")</f>
        <v/>
      </c>
    </row>
    <row r="142" spans="7:8" x14ac:dyDescent="0.25">
      <c r="G142" s="6" t="str">
        <f t="shared" si="8"/>
        <v/>
      </c>
      <c r="H142" s="14" t="str">
        <f t="shared" si="9"/>
        <v/>
      </c>
    </row>
    <row r="143" spans="7:8" x14ac:dyDescent="0.25">
      <c r="G143" s="6" t="str">
        <f t="shared" si="8"/>
        <v/>
      </c>
      <c r="H143" s="14" t="str">
        <f t="shared" si="9"/>
        <v/>
      </c>
    </row>
    <row r="144" spans="7:8" x14ac:dyDescent="0.25">
      <c r="G144" s="6" t="str">
        <f t="shared" si="8"/>
        <v/>
      </c>
      <c r="H144" s="14" t="str">
        <f t="shared" si="9"/>
        <v/>
      </c>
    </row>
    <row r="145" spans="7:8" x14ac:dyDescent="0.25">
      <c r="G145" s="6" t="str">
        <f t="shared" si="8"/>
        <v/>
      </c>
      <c r="H145" s="14" t="str">
        <f t="shared" si="9"/>
        <v/>
      </c>
    </row>
    <row r="146" spans="7:8" x14ac:dyDescent="0.25">
      <c r="G146" s="6" t="str">
        <f t="shared" si="8"/>
        <v/>
      </c>
      <c r="H146" s="14" t="str">
        <f t="shared" si="9"/>
        <v/>
      </c>
    </row>
    <row r="147" spans="7:8" x14ac:dyDescent="0.25">
      <c r="G147" s="6" t="str">
        <f t="shared" si="8"/>
        <v/>
      </c>
      <c r="H147" s="14" t="str">
        <f t="shared" si="9"/>
        <v/>
      </c>
    </row>
    <row r="148" spans="7:8" x14ac:dyDescent="0.25">
      <c r="G148" s="6" t="str">
        <f t="shared" si="8"/>
        <v/>
      </c>
      <c r="H148" s="14" t="str">
        <f t="shared" si="9"/>
        <v/>
      </c>
    </row>
    <row r="149" spans="7:8" x14ac:dyDescent="0.25">
      <c r="G149" s="6" t="str">
        <f t="shared" si="8"/>
        <v/>
      </c>
      <c r="H149" s="14" t="str">
        <f t="shared" si="9"/>
        <v/>
      </c>
    </row>
    <row r="150" spans="7:8" x14ac:dyDescent="0.25">
      <c r="G150" s="6" t="str">
        <f t="shared" si="8"/>
        <v/>
      </c>
      <c r="H150" s="14" t="str">
        <f t="shared" si="9"/>
        <v/>
      </c>
    </row>
    <row r="151" spans="7:8" x14ac:dyDescent="0.25">
      <c r="G151" s="6" t="str">
        <f t="shared" si="8"/>
        <v/>
      </c>
      <c r="H151" s="14" t="str">
        <f t="shared" si="9"/>
        <v/>
      </c>
    </row>
    <row r="152" spans="7:8" x14ac:dyDescent="0.25">
      <c r="G152" s="6" t="str">
        <f t="shared" si="8"/>
        <v/>
      </c>
      <c r="H152" s="14" t="str">
        <f t="shared" si="9"/>
        <v/>
      </c>
    </row>
    <row r="153" spans="7:8" x14ac:dyDescent="0.25">
      <c r="G153" s="6" t="str">
        <f t="shared" si="8"/>
        <v/>
      </c>
      <c r="H153" s="14" t="str">
        <f t="shared" si="9"/>
        <v/>
      </c>
    </row>
    <row r="154" spans="7:8" x14ac:dyDescent="0.25">
      <c r="G154" s="6" t="str">
        <f t="shared" si="8"/>
        <v/>
      </c>
      <c r="H154" s="14" t="str">
        <f t="shared" si="9"/>
        <v/>
      </c>
    </row>
    <row r="155" spans="7:8" x14ac:dyDescent="0.25">
      <c r="G155" s="6" t="str">
        <f t="shared" si="8"/>
        <v/>
      </c>
      <c r="H155" s="14" t="str">
        <f t="shared" si="9"/>
        <v/>
      </c>
    </row>
    <row r="156" spans="7:8" x14ac:dyDescent="0.25">
      <c r="G156" s="6" t="str">
        <f t="shared" si="8"/>
        <v/>
      </c>
      <c r="H156" s="14" t="str">
        <f t="shared" si="9"/>
        <v/>
      </c>
    </row>
    <row r="157" spans="7:8" x14ac:dyDescent="0.25">
      <c r="G157" s="6" t="str">
        <f t="shared" si="8"/>
        <v/>
      </c>
      <c r="H157" s="14" t="str">
        <f t="shared" si="9"/>
        <v/>
      </c>
    </row>
    <row r="158" spans="7:8" x14ac:dyDescent="0.25">
      <c r="G158" s="6" t="str">
        <f t="shared" si="8"/>
        <v/>
      </c>
      <c r="H158" s="14" t="str">
        <f t="shared" si="9"/>
        <v/>
      </c>
    </row>
    <row r="159" spans="7:8" x14ac:dyDescent="0.25">
      <c r="G159" s="6" t="str">
        <f t="shared" si="8"/>
        <v/>
      </c>
      <c r="H159" s="14" t="str">
        <f t="shared" si="9"/>
        <v/>
      </c>
    </row>
    <row r="160" spans="7:8" x14ac:dyDescent="0.25">
      <c r="G160" s="6" t="str">
        <f t="shared" si="8"/>
        <v/>
      </c>
      <c r="H160" s="14" t="str">
        <f t="shared" si="9"/>
        <v/>
      </c>
    </row>
    <row r="161" spans="7:8" x14ac:dyDescent="0.25">
      <c r="G161" s="6" t="str">
        <f t="shared" si="8"/>
        <v/>
      </c>
      <c r="H161" s="14" t="str">
        <f t="shared" si="9"/>
        <v/>
      </c>
    </row>
    <row r="162" spans="7:8" x14ac:dyDescent="0.25">
      <c r="G162" s="6" t="str">
        <f t="shared" si="8"/>
        <v/>
      </c>
      <c r="H162" s="14" t="str">
        <f t="shared" si="9"/>
        <v/>
      </c>
    </row>
    <row r="163" spans="7:8" x14ac:dyDescent="0.25">
      <c r="G163" s="6" t="str">
        <f t="shared" si="8"/>
        <v/>
      </c>
      <c r="H163" s="14" t="str">
        <f t="shared" si="9"/>
        <v/>
      </c>
    </row>
    <row r="164" spans="7:8" x14ac:dyDescent="0.25">
      <c r="G164" s="6" t="str">
        <f t="shared" si="8"/>
        <v/>
      </c>
      <c r="H164" s="14" t="str">
        <f t="shared" si="9"/>
        <v/>
      </c>
    </row>
    <row r="165" spans="7:8" x14ac:dyDescent="0.25">
      <c r="G165" s="6" t="str">
        <f t="shared" si="8"/>
        <v/>
      </c>
      <c r="H165" s="14" t="str">
        <f t="shared" si="9"/>
        <v/>
      </c>
    </row>
    <row r="166" spans="7:8" x14ac:dyDescent="0.25">
      <c r="G166" s="6" t="str">
        <f t="shared" si="8"/>
        <v/>
      </c>
      <c r="H166" s="14" t="str">
        <f t="shared" si="9"/>
        <v/>
      </c>
    </row>
    <row r="167" spans="7:8" x14ac:dyDescent="0.25">
      <c r="G167" s="6" t="str">
        <f t="shared" si="8"/>
        <v/>
      </c>
      <c r="H167" s="14" t="str">
        <f t="shared" si="9"/>
        <v/>
      </c>
    </row>
    <row r="168" spans="7:8" x14ac:dyDescent="0.25">
      <c r="G168" s="6" t="str">
        <f t="shared" si="8"/>
        <v/>
      </c>
      <c r="H168" s="14" t="str">
        <f t="shared" si="9"/>
        <v/>
      </c>
    </row>
    <row r="169" spans="7:8" x14ac:dyDescent="0.25">
      <c r="G169" s="6" t="str">
        <f t="shared" si="8"/>
        <v/>
      </c>
      <c r="H169" s="14" t="str">
        <f t="shared" si="9"/>
        <v/>
      </c>
    </row>
    <row r="170" spans="7:8" x14ac:dyDescent="0.25">
      <c r="G170" s="6" t="str">
        <f t="shared" si="8"/>
        <v/>
      </c>
      <c r="H170" s="14" t="str">
        <f t="shared" si="9"/>
        <v/>
      </c>
    </row>
    <row r="171" spans="7:8" x14ac:dyDescent="0.25">
      <c r="G171" s="6" t="str">
        <f t="shared" si="8"/>
        <v/>
      </c>
      <c r="H171" s="14" t="str">
        <f t="shared" si="9"/>
        <v/>
      </c>
    </row>
    <row r="172" spans="7:8" x14ac:dyDescent="0.25">
      <c r="G172" s="6" t="str">
        <f t="shared" si="8"/>
        <v/>
      </c>
      <c r="H172" s="14" t="str">
        <f t="shared" si="9"/>
        <v/>
      </c>
    </row>
    <row r="173" spans="7:8" x14ac:dyDescent="0.25">
      <c r="G173" s="6" t="str">
        <f t="shared" si="8"/>
        <v/>
      </c>
      <c r="H173" s="14" t="str">
        <f t="shared" si="9"/>
        <v/>
      </c>
    </row>
    <row r="174" spans="7:8" x14ac:dyDescent="0.25">
      <c r="G174" s="6" t="str">
        <f t="shared" si="8"/>
        <v/>
      </c>
      <c r="H174" s="14" t="str">
        <f t="shared" si="9"/>
        <v/>
      </c>
    </row>
    <row r="175" spans="7:8" x14ac:dyDescent="0.25">
      <c r="G175" s="6" t="str">
        <f t="shared" si="8"/>
        <v/>
      </c>
      <c r="H175" s="14" t="str">
        <f t="shared" si="9"/>
        <v/>
      </c>
    </row>
    <row r="176" spans="7:8" x14ac:dyDescent="0.25">
      <c r="G176" s="6" t="str">
        <f t="shared" si="8"/>
        <v/>
      </c>
      <c r="H176" s="14" t="str">
        <f t="shared" si="9"/>
        <v/>
      </c>
    </row>
    <row r="177" spans="7:8" x14ac:dyDescent="0.25">
      <c r="G177" s="6" t="str">
        <f t="shared" si="8"/>
        <v/>
      </c>
      <c r="H177" s="14" t="str">
        <f t="shared" si="9"/>
        <v/>
      </c>
    </row>
    <row r="178" spans="7:8" x14ac:dyDescent="0.25">
      <c r="G178" s="6" t="str">
        <f t="shared" si="8"/>
        <v/>
      </c>
      <c r="H178" s="14" t="str">
        <f t="shared" si="9"/>
        <v/>
      </c>
    </row>
    <row r="179" spans="7:8" x14ac:dyDescent="0.25">
      <c r="G179" s="6" t="str">
        <f t="shared" si="8"/>
        <v/>
      </c>
      <c r="H179" s="14" t="str">
        <f t="shared" si="9"/>
        <v/>
      </c>
    </row>
    <row r="180" spans="7:8" x14ac:dyDescent="0.25">
      <c r="G180" s="6" t="str">
        <f t="shared" si="8"/>
        <v/>
      </c>
      <c r="H180" s="14" t="str">
        <f t="shared" si="9"/>
        <v/>
      </c>
    </row>
    <row r="181" spans="7:8" x14ac:dyDescent="0.25">
      <c r="G181" s="6" t="str">
        <f t="shared" si="8"/>
        <v/>
      </c>
      <c r="H181" s="14" t="str">
        <f t="shared" si="9"/>
        <v/>
      </c>
    </row>
    <row r="182" spans="7:8" x14ac:dyDescent="0.25">
      <c r="G182" s="6" t="str">
        <f t="shared" si="8"/>
        <v/>
      </c>
      <c r="H182" s="14" t="str">
        <f t="shared" si="9"/>
        <v/>
      </c>
    </row>
    <row r="183" spans="7:8" x14ac:dyDescent="0.25">
      <c r="G183" s="6" t="str">
        <f t="shared" si="8"/>
        <v/>
      </c>
      <c r="H183" s="14" t="str">
        <f t="shared" si="9"/>
        <v/>
      </c>
    </row>
    <row r="184" spans="7:8" x14ac:dyDescent="0.25">
      <c r="G184" s="6" t="str">
        <f t="shared" si="8"/>
        <v/>
      </c>
      <c r="H184" s="14" t="str">
        <f t="shared" si="9"/>
        <v/>
      </c>
    </row>
    <row r="185" spans="7:8" x14ac:dyDescent="0.25">
      <c r="G185" s="6" t="str">
        <f t="shared" si="8"/>
        <v/>
      </c>
      <c r="H185" s="14" t="str">
        <f t="shared" si="9"/>
        <v/>
      </c>
    </row>
    <row r="186" spans="7:8" x14ac:dyDescent="0.25">
      <c r="G186" s="6" t="str">
        <f t="shared" si="8"/>
        <v/>
      </c>
      <c r="H186" s="14" t="str">
        <f t="shared" si="9"/>
        <v/>
      </c>
    </row>
    <row r="187" spans="7:8" x14ac:dyDescent="0.25">
      <c r="G187" s="6" t="str">
        <f t="shared" si="8"/>
        <v/>
      </c>
      <c r="H187" s="14" t="str">
        <f t="shared" si="9"/>
        <v/>
      </c>
    </row>
    <row r="188" spans="7:8" x14ac:dyDescent="0.25">
      <c r="G188" s="6" t="str">
        <f t="shared" si="8"/>
        <v/>
      </c>
      <c r="H188" s="14" t="str">
        <f t="shared" si="9"/>
        <v/>
      </c>
    </row>
    <row r="189" spans="7:8" x14ac:dyDescent="0.25">
      <c r="G189" s="6" t="str">
        <f t="shared" si="8"/>
        <v/>
      </c>
      <c r="H189" s="14" t="str">
        <f t="shared" si="9"/>
        <v/>
      </c>
    </row>
    <row r="190" spans="7:8" x14ac:dyDescent="0.25">
      <c r="G190" s="6" t="str">
        <f t="shared" si="8"/>
        <v/>
      </c>
      <c r="H190" s="14" t="str">
        <f t="shared" si="9"/>
        <v/>
      </c>
    </row>
    <row r="191" spans="7:8" x14ac:dyDescent="0.25">
      <c r="G191" s="6" t="str">
        <f t="shared" si="8"/>
        <v/>
      </c>
      <c r="H191" s="14" t="str">
        <f t="shared" si="9"/>
        <v/>
      </c>
    </row>
    <row r="192" spans="7:8" x14ac:dyDescent="0.25">
      <c r="G192" s="6" t="str">
        <f t="shared" si="8"/>
        <v/>
      </c>
      <c r="H192" s="14" t="str">
        <f t="shared" si="9"/>
        <v/>
      </c>
    </row>
    <row r="193" spans="7:8" x14ac:dyDescent="0.25">
      <c r="G193" s="6" t="str">
        <f t="shared" si="8"/>
        <v/>
      </c>
      <c r="H193" s="14" t="str">
        <f t="shared" si="9"/>
        <v/>
      </c>
    </row>
    <row r="194" spans="7:8" x14ac:dyDescent="0.25">
      <c r="G194" s="6" t="str">
        <f t="shared" si="8"/>
        <v/>
      </c>
      <c r="H194" s="14" t="str">
        <f t="shared" si="9"/>
        <v/>
      </c>
    </row>
    <row r="195" spans="7:8" x14ac:dyDescent="0.25">
      <c r="G195" s="6" t="str">
        <f t="shared" si="8"/>
        <v/>
      </c>
      <c r="H195" s="14" t="str">
        <f t="shared" si="9"/>
        <v/>
      </c>
    </row>
    <row r="196" spans="7:8" x14ac:dyDescent="0.25">
      <c r="G196" s="6" t="str">
        <f t="shared" si="8"/>
        <v/>
      </c>
      <c r="H196" s="14" t="str">
        <f t="shared" si="9"/>
        <v/>
      </c>
    </row>
    <row r="197" spans="7:8" x14ac:dyDescent="0.25">
      <c r="G197" s="6" t="str">
        <f t="shared" si="8"/>
        <v/>
      </c>
      <c r="H197" s="14" t="str">
        <f t="shared" si="9"/>
        <v/>
      </c>
    </row>
    <row r="198" spans="7:8" x14ac:dyDescent="0.25">
      <c r="G198" s="6" t="str">
        <f t="shared" si="8"/>
        <v/>
      </c>
      <c r="H198" s="14" t="str">
        <f t="shared" si="9"/>
        <v/>
      </c>
    </row>
    <row r="199" spans="7:8" x14ac:dyDescent="0.25">
      <c r="G199" s="6" t="str">
        <f t="shared" si="8"/>
        <v/>
      </c>
      <c r="H199" s="14" t="str">
        <f t="shared" si="9"/>
        <v/>
      </c>
    </row>
    <row r="200" spans="7:8" x14ac:dyDescent="0.25">
      <c r="G200" s="6" t="str">
        <f t="shared" si="8"/>
        <v/>
      </c>
      <c r="H200" s="14" t="str">
        <f t="shared" si="9"/>
        <v/>
      </c>
    </row>
    <row r="201" spans="7:8" x14ac:dyDescent="0.25">
      <c r="G201" s="6" t="str">
        <f t="shared" si="8"/>
        <v/>
      </c>
      <c r="H201" s="14" t="str">
        <f t="shared" si="9"/>
        <v/>
      </c>
    </row>
    <row r="202" spans="7:8" x14ac:dyDescent="0.25">
      <c r="G202" s="6" t="str">
        <f t="shared" si="8"/>
        <v/>
      </c>
      <c r="H202" s="14" t="str">
        <f t="shared" si="9"/>
        <v/>
      </c>
    </row>
    <row r="203" spans="7:8" x14ac:dyDescent="0.25">
      <c r="G203" s="6" t="str">
        <f t="shared" si="8"/>
        <v/>
      </c>
      <c r="H203" s="14" t="str">
        <f t="shared" si="9"/>
        <v/>
      </c>
    </row>
    <row r="204" spans="7:8" x14ac:dyDescent="0.25">
      <c r="G204" s="6" t="str">
        <f t="shared" si="8"/>
        <v/>
      </c>
      <c r="H204" s="14" t="str">
        <f t="shared" si="9"/>
        <v/>
      </c>
    </row>
    <row r="205" spans="7:8" x14ac:dyDescent="0.25">
      <c r="G205" s="6" t="str">
        <f t="shared" ref="G205:G268" si="10">IF(F205 = "n", "NA", "")</f>
        <v/>
      </c>
      <c r="H205" s="14" t="str">
        <f t="shared" ref="H205:H268" si="11">IF(G205 = "y", "NA", "")</f>
        <v/>
      </c>
    </row>
    <row r="206" spans="7:8" x14ac:dyDescent="0.25">
      <c r="G206" s="6" t="str">
        <f t="shared" si="10"/>
        <v/>
      </c>
      <c r="H206" s="14" t="str">
        <f t="shared" si="11"/>
        <v/>
      </c>
    </row>
    <row r="207" spans="7:8" x14ac:dyDescent="0.25">
      <c r="G207" s="6" t="str">
        <f t="shared" si="10"/>
        <v/>
      </c>
      <c r="H207" s="14" t="str">
        <f t="shared" si="11"/>
        <v/>
      </c>
    </row>
    <row r="208" spans="7:8" x14ac:dyDescent="0.25">
      <c r="G208" s="6" t="str">
        <f t="shared" si="10"/>
        <v/>
      </c>
      <c r="H208" s="14" t="str">
        <f t="shared" si="11"/>
        <v/>
      </c>
    </row>
    <row r="209" spans="7:8" x14ac:dyDescent="0.25">
      <c r="G209" s="6" t="str">
        <f t="shared" si="10"/>
        <v/>
      </c>
      <c r="H209" s="14" t="str">
        <f t="shared" si="11"/>
        <v/>
      </c>
    </row>
    <row r="210" spans="7:8" x14ac:dyDescent="0.25">
      <c r="G210" s="6" t="str">
        <f t="shared" si="10"/>
        <v/>
      </c>
      <c r="H210" s="14" t="str">
        <f t="shared" si="11"/>
        <v/>
      </c>
    </row>
    <row r="211" spans="7:8" x14ac:dyDescent="0.25">
      <c r="G211" s="6" t="str">
        <f t="shared" si="10"/>
        <v/>
      </c>
      <c r="H211" s="14" t="str">
        <f t="shared" si="11"/>
        <v/>
      </c>
    </row>
    <row r="212" spans="7:8" x14ac:dyDescent="0.25">
      <c r="G212" s="6" t="str">
        <f t="shared" si="10"/>
        <v/>
      </c>
      <c r="H212" s="14" t="str">
        <f t="shared" si="11"/>
        <v/>
      </c>
    </row>
    <row r="213" spans="7:8" x14ac:dyDescent="0.25">
      <c r="G213" s="6" t="str">
        <f t="shared" si="10"/>
        <v/>
      </c>
      <c r="H213" s="14" t="str">
        <f t="shared" si="11"/>
        <v/>
      </c>
    </row>
    <row r="214" spans="7:8" x14ac:dyDescent="0.25">
      <c r="G214" s="6" t="str">
        <f t="shared" si="10"/>
        <v/>
      </c>
      <c r="H214" s="14" t="str">
        <f t="shared" si="11"/>
        <v/>
      </c>
    </row>
    <row r="215" spans="7:8" x14ac:dyDescent="0.25">
      <c r="G215" s="6" t="str">
        <f t="shared" si="10"/>
        <v/>
      </c>
      <c r="H215" s="14" t="str">
        <f t="shared" si="11"/>
        <v/>
      </c>
    </row>
    <row r="216" spans="7:8" x14ac:dyDescent="0.25">
      <c r="G216" s="6" t="str">
        <f t="shared" si="10"/>
        <v/>
      </c>
      <c r="H216" s="14" t="str">
        <f t="shared" si="11"/>
        <v/>
      </c>
    </row>
    <row r="217" spans="7:8" x14ac:dyDescent="0.25">
      <c r="G217" s="6" t="str">
        <f t="shared" si="10"/>
        <v/>
      </c>
      <c r="H217" s="14" t="str">
        <f t="shared" si="11"/>
        <v/>
      </c>
    </row>
    <row r="218" spans="7:8" x14ac:dyDescent="0.25">
      <c r="G218" s="6" t="str">
        <f t="shared" si="10"/>
        <v/>
      </c>
      <c r="H218" s="14" t="str">
        <f t="shared" si="11"/>
        <v/>
      </c>
    </row>
    <row r="219" spans="7:8" x14ac:dyDescent="0.25">
      <c r="G219" s="6" t="str">
        <f t="shared" si="10"/>
        <v/>
      </c>
      <c r="H219" s="14" t="str">
        <f t="shared" si="11"/>
        <v/>
      </c>
    </row>
    <row r="220" spans="7:8" x14ac:dyDescent="0.25">
      <c r="G220" s="6" t="str">
        <f t="shared" si="10"/>
        <v/>
      </c>
      <c r="H220" s="14" t="str">
        <f t="shared" si="11"/>
        <v/>
      </c>
    </row>
    <row r="221" spans="7:8" x14ac:dyDescent="0.25">
      <c r="G221" s="6" t="str">
        <f t="shared" si="10"/>
        <v/>
      </c>
      <c r="H221" s="14" t="str">
        <f t="shared" si="11"/>
        <v/>
      </c>
    </row>
    <row r="222" spans="7:8" x14ac:dyDescent="0.25">
      <c r="G222" s="6" t="str">
        <f t="shared" si="10"/>
        <v/>
      </c>
      <c r="H222" s="14" t="str">
        <f t="shared" si="11"/>
        <v/>
      </c>
    </row>
    <row r="223" spans="7:8" x14ac:dyDescent="0.25">
      <c r="G223" s="6" t="str">
        <f t="shared" si="10"/>
        <v/>
      </c>
      <c r="H223" s="14" t="str">
        <f t="shared" si="11"/>
        <v/>
      </c>
    </row>
    <row r="224" spans="7:8" x14ac:dyDescent="0.25">
      <c r="G224" s="6" t="str">
        <f t="shared" si="10"/>
        <v/>
      </c>
      <c r="H224" s="14" t="str">
        <f t="shared" si="11"/>
        <v/>
      </c>
    </row>
    <row r="225" spans="7:8" x14ac:dyDescent="0.25">
      <c r="G225" s="6" t="str">
        <f t="shared" si="10"/>
        <v/>
      </c>
      <c r="H225" s="14" t="str">
        <f t="shared" si="11"/>
        <v/>
      </c>
    </row>
    <row r="226" spans="7:8" x14ac:dyDescent="0.25">
      <c r="G226" s="6" t="str">
        <f t="shared" si="10"/>
        <v/>
      </c>
      <c r="H226" s="14" t="str">
        <f t="shared" si="11"/>
        <v/>
      </c>
    </row>
    <row r="227" spans="7:8" x14ac:dyDescent="0.25">
      <c r="G227" s="6" t="str">
        <f t="shared" si="10"/>
        <v/>
      </c>
      <c r="H227" s="14" t="str">
        <f t="shared" si="11"/>
        <v/>
      </c>
    </row>
    <row r="228" spans="7:8" x14ac:dyDescent="0.25">
      <c r="G228" s="6" t="str">
        <f t="shared" si="10"/>
        <v/>
      </c>
      <c r="H228" s="14" t="str">
        <f t="shared" si="11"/>
        <v/>
      </c>
    </row>
    <row r="229" spans="7:8" x14ac:dyDescent="0.25">
      <c r="G229" s="6" t="str">
        <f t="shared" si="10"/>
        <v/>
      </c>
      <c r="H229" s="14" t="str">
        <f t="shared" si="11"/>
        <v/>
      </c>
    </row>
    <row r="230" spans="7:8" x14ac:dyDescent="0.25">
      <c r="G230" s="6" t="str">
        <f t="shared" si="10"/>
        <v/>
      </c>
      <c r="H230" s="14" t="str">
        <f t="shared" si="11"/>
        <v/>
      </c>
    </row>
    <row r="231" spans="7:8" x14ac:dyDescent="0.25">
      <c r="G231" s="6" t="str">
        <f t="shared" si="10"/>
        <v/>
      </c>
      <c r="H231" s="14" t="str">
        <f t="shared" si="11"/>
        <v/>
      </c>
    </row>
    <row r="232" spans="7:8" x14ac:dyDescent="0.25">
      <c r="G232" s="6" t="str">
        <f t="shared" si="10"/>
        <v/>
      </c>
      <c r="H232" s="14" t="str">
        <f t="shared" si="11"/>
        <v/>
      </c>
    </row>
    <row r="233" spans="7:8" x14ac:dyDescent="0.25">
      <c r="G233" s="6" t="str">
        <f t="shared" si="10"/>
        <v/>
      </c>
      <c r="H233" s="14" t="str">
        <f t="shared" si="11"/>
        <v/>
      </c>
    </row>
    <row r="234" spans="7:8" x14ac:dyDescent="0.25">
      <c r="G234" s="6" t="str">
        <f t="shared" si="10"/>
        <v/>
      </c>
      <c r="H234" s="14" t="str">
        <f t="shared" si="11"/>
        <v/>
      </c>
    </row>
    <row r="235" spans="7:8" x14ac:dyDescent="0.25">
      <c r="G235" s="6" t="str">
        <f t="shared" si="10"/>
        <v/>
      </c>
      <c r="H235" s="14" t="str">
        <f t="shared" si="11"/>
        <v/>
      </c>
    </row>
    <row r="236" spans="7:8" x14ac:dyDescent="0.25">
      <c r="G236" s="6" t="str">
        <f t="shared" si="10"/>
        <v/>
      </c>
      <c r="H236" s="14" t="str">
        <f t="shared" si="11"/>
        <v/>
      </c>
    </row>
    <row r="237" spans="7:8" x14ac:dyDescent="0.25">
      <c r="G237" s="6" t="str">
        <f t="shared" si="10"/>
        <v/>
      </c>
      <c r="H237" s="14" t="str">
        <f t="shared" si="11"/>
        <v/>
      </c>
    </row>
    <row r="238" spans="7:8" x14ac:dyDescent="0.25">
      <c r="G238" s="6" t="str">
        <f t="shared" si="10"/>
        <v/>
      </c>
      <c r="H238" s="14" t="str">
        <f t="shared" si="11"/>
        <v/>
      </c>
    </row>
    <row r="239" spans="7:8" x14ac:dyDescent="0.25">
      <c r="G239" s="6" t="str">
        <f t="shared" si="10"/>
        <v/>
      </c>
      <c r="H239" s="14" t="str">
        <f t="shared" si="11"/>
        <v/>
      </c>
    </row>
    <row r="240" spans="7:8" x14ac:dyDescent="0.25">
      <c r="G240" s="6" t="str">
        <f t="shared" si="10"/>
        <v/>
      </c>
      <c r="H240" s="14" t="str">
        <f t="shared" si="11"/>
        <v/>
      </c>
    </row>
    <row r="241" spans="7:8" x14ac:dyDescent="0.25">
      <c r="G241" s="6" t="str">
        <f t="shared" si="10"/>
        <v/>
      </c>
      <c r="H241" s="14" t="str">
        <f t="shared" si="11"/>
        <v/>
      </c>
    </row>
    <row r="242" spans="7:8" x14ac:dyDescent="0.25">
      <c r="G242" s="6" t="str">
        <f t="shared" si="10"/>
        <v/>
      </c>
      <c r="H242" s="14" t="str">
        <f t="shared" si="11"/>
        <v/>
      </c>
    </row>
    <row r="243" spans="7:8" x14ac:dyDescent="0.25">
      <c r="G243" s="6" t="str">
        <f t="shared" si="10"/>
        <v/>
      </c>
      <c r="H243" s="14" t="str">
        <f t="shared" si="11"/>
        <v/>
      </c>
    </row>
    <row r="244" spans="7:8" x14ac:dyDescent="0.25">
      <c r="G244" s="6" t="str">
        <f t="shared" si="10"/>
        <v/>
      </c>
      <c r="H244" s="14" t="str">
        <f t="shared" si="11"/>
        <v/>
      </c>
    </row>
    <row r="245" spans="7:8" x14ac:dyDescent="0.25">
      <c r="G245" s="6" t="str">
        <f t="shared" si="10"/>
        <v/>
      </c>
      <c r="H245" s="14" t="str">
        <f t="shared" si="11"/>
        <v/>
      </c>
    </row>
    <row r="246" spans="7:8" x14ac:dyDescent="0.25">
      <c r="G246" s="6" t="str">
        <f t="shared" si="10"/>
        <v/>
      </c>
      <c r="H246" s="14" t="str">
        <f t="shared" si="11"/>
        <v/>
      </c>
    </row>
    <row r="247" spans="7:8" x14ac:dyDescent="0.25">
      <c r="G247" s="6" t="str">
        <f t="shared" si="10"/>
        <v/>
      </c>
      <c r="H247" s="14" t="str">
        <f t="shared" si="11"/>
        <v/>
      </c>
    </row>
    <row r="248" spans="7:8" x14ac:dyDescent="0.25">
      <c r="G248" s="6" t="str">
        <f t="shared" si="10"/>
        <v/>
      </c>
      <c r="H248" s="14" t="str">
        <f t="shared" si="11"/>
        <v/>
      </c>
    </row>
    <row r="249" spans="7:8" x14ac:dyDescent="0.25">
      <c r="G249" s="6" t="str">
        <f t="shared" si="10"/>
        <v/>
      </c>
      <c r="H249" s="14" t="str">
        <f t="shared" si="11"/>
        <v/>
      </c>
    </row>
    <row r="250" spans="7:8" x14ac:dyDescent="0.25">
      <c r="G250" s="6" t="str">
        <f t="shared" si="10"/>
        <v/>
      </c>
      <c r="H250" s="14" t="str">
        <f t="shared" si="11"/>
        <v/>
      </c>
    </row>
    <row r="251" spans="7:8" x14ac:dyDescent="0.25">
      <c r="G251" s="6" t="str">
        <f t="shared" si="10"/>
        <v/>
      </c>
      <c r="H251" s="14" t="str">
        <f t="shared" si="11"/>
        <v/>
      </c>
    </row>
    <row r="252" spans="7:8" x14ac:dyDescent="0.25">
      <c r="G252" s="6" t="str">
        <f t="shared" si="10"/>
        <v/>
      </c>
      <c r="H252" s="14" t="str">
        <f t="shared" si="11"/>
        <v/>
      </c>
    </row>
    <row r="253" spans="7:8" x14ac:dyDescent="0.25">
      <c r="G253" s="6" t="str">
        <f t="shared" si="10"/>
        <v/>
      </c>
      <c r="H253" s="14" t="str">
        <f t="shared" si="11"/>
        <v/>
      </c>
    </row>
    <row r="254" spans="7:8" x14ac:dyDescent="0.25">
      <c r="G254" s="6" t="str">
        <f t="shared" si="10"/>
        <v/>
      </c>
      <c r="H254" s="14" t="str">
        <f t="shared" si="11"/>
        <v/>
      </c>
    </row>
    <row r="255" spans="7:8" x14ac:dyDescent="0.25">
      <c r="G255" s="6" t="str">
        <f t="shared" si="10"/>
        <v/>
      </c>
      <c r="H255" s="14" t="str">
        <f t="shared" si="11"/>
        <v/>
      </c>
    </row>
    <row r="256" spans="7:8" x14ac:dyDescent="0.25">
      <c r="G256" s="6" t="str">
        <f t="shared" si="10"/>
        <v/>
      </c>
      <c r="H256" s="14" t="str">
        <f t="shared" si="11"/>
        <v/>
      </c>
    </row>
    <row r="257" spans="7:8" x14ac:dyDescent="0.25">
      <c r="G257" s="6" t="str">
        <f t="shared" si="10"/>
        <v/>
      </c>
      <c r="H257" s="14" t="str">
        <f t="shared" si="11"/>
        <v/>
      </c>
    </row>
    <row r="258" spans="7:8" x14ac:dyDescent="0.25">
      <c r="G258" s="6" t="str">
        <f t="shared" si="10"/>
        <v/>
      </c>
      <c r="H258" s="14" t="str">
        <f t="shared" si="11"/>
        <v/>
      </c>
    </row>
    <row r="259" spans="7:8" x14ac:dyDescent="0.25">
      <c r="G259" s="6" t="str">
        <f t="shared" si="10"/>
        <v/>
      </c>
      <c r="H259" s="14" t="str">
        <f t="shared" si="11"/>
        <v/>
      </c>
    </row>
    <row r="260" spans="7:8" x14ac:dyDescent="0.25">
      <c r="G260" s="6" t="str">
        <f t="shared" si="10"/>
        <v/>
      </c>
      <c r="H260" s="14" t="str">
        <f t="shared" si="11"/>
        <v/>
      </c>
    </row>
    <row r="261" spans="7:8" x14ac:dyDescent="0.25">
      <c r="G261" s="6" t="str">
        <f t="shared" si="10"/>
        <v/>
      </c>
      <c r="H261" s="14" t="str">
        <f t="shared" si="11"/>
        <v/>
      </c>
    </row>
    <row r="262" spans="7:8" x14ac:dyDescent="0.25">
      <c r="G262" s="6" t="str">
        <f t="shared" si="10"/>
        <v/>
      </c>
      <c r="H262" s="14" t="str">
        <f t="shared" si="11"/>
        <v/>
      </c>
    </row>
    <row r="263" spans="7:8" x14ac:dyDescent="0.25">
      <c r="G263" s="6" t="str">
        <f t="shared" si="10"/>
        <v/>
      </c>
      <c r="H263" s="14" t="str">
        <f t="shared" si="11"/>
        <v/>
      </c>
    </row>
    <row r="264" spans="7:8" x14ac:dyDescent="0.25">
      <c r="G264" s="6" t="str">
        <f t="shared" si="10"/>
        <v/>
      </c>
      <c r="H264" s="14" t="str">
        <f t="shared" si="11"/>
        <v/>
      </c>
    </row>
    <row r="265" spans="7:8" x14ac:dyDescent="0.25">
      <c r="G265" s="6" t="str">
        <f t="shared" si="10"/>
        <v/>
      </c>
      <c r="H265" s="14" t="str">
        <f t="shared" si="11"/>
        <v/>
      </c>
    </row>
    <row r="266" spans="7:8" x14ac:dyDescent="0.25">
      <c r="G266" s="6" t="str">
        <f t="shared" si="10"/>
        <v/>
      </c>
      <c r="H266" s="14" t="str">
        <f t="shared" si="11"/>
        <v/>
      </c>
    </row>
    <row r="267" spans="7:8" x14ac:dyDescent="0.25">
      <c r="G267" s="6" t="str">
        <f t="shared" si="10"/>
        <v/>
      </c>
      <c r="H267" s="14" t="str">
        <f t="shared" si="11"/>
        <v/>
      </c>
    </row>
    <row r="268" spans="7:8" x14ac:dyDescent="0.25">
      <c r="G268" s="6" t="str">
        <f t="shared" si="10"/>
        <v/>
      </c>
      <c r="H268" s="14" t="str">
        <f t="shared" si="11"/>
        <v/>
      </c>
    </row>
    <row r="269" spans="7:8" x14ac:dyDescent="0.25">
      <c r="G269" s="6" t="str">
        <f t="shared" ref="G269:G332" si="12">IF(F269 = "n", "NA", "")</f>
        <v/>
      </c>
      <c r="H269" s="14" t="str">
        <f t="shared" ref="H269:H332" si="13">IF(G269 = "y", "NA", "")</f>
        <v/>
      </c>
    </row>
    <row r="270" spans="7:8" x14ac:dyDescent="0.25">
      <c r="G270" s="6" t="str">
        <f t="shared" si="12"/>
        <v/>
      </c>
      <c r="H270" s="14" t="str">
        <f t="shared" si="13"/>
        <v/>
      </c>
    </row>
    <row r="271" spans="7:8" x14ac:dyDescent="0.25">
      <c r="G271" s="6" t="str">
        <f t="shared" si="12"/>
        <v/>
      </c>
      <c r="H271" s="14" t="str">
        <f t="shared" si="13"/>
        <v/>
      </c>
    </row>
    <row r="272" spans="7:8" x14ac:dyDescent="0.25">
      <c r="G272" s="6" t="str">
        <f t="shared" si="12"/>
        <v/>
      </c>
      <c r="H272" s="14" t="str">
        <f t="shared" si="13"/>
        <v/>
      </c>
    </row>
    <row r="273" spans="7:8" x14ac:dyDescent="0.25">
      <c r="G273" s="6" t="str">
        <f t="shared" si="12"/>
        <v/>
      </c>
      <c r="H273" s="14" t="str">
        <f t="shared" si="13"/>
        <v/>
      </c>
    </row>
    <row r="274" spans="7:8" x14ac:dyDescent="0.25">
      <c r="G274" s="6" t="str">
        <f t="shared" si="12"/>
        <v/>
      </c>
      <c r="H274" s="14" t="str">
        <f t="shared" si="13"/>
        <v/>
      </c>
    </row>
    <row r="275" spans="7:8" x14ac:dyDescent="0.25">
      <c r="G275" s="6" t="str">
        <f t="shared" si="12"/>
        <v/>
      </c>
      <c r="H275" s="14" t="str">
        <f t="shared" si="13"/>
        <v/>
      </c>
    </row>
    <row r="276" spans="7:8" x14ac:dyDescent="0.25">
      <c r="G276" s="6" t="str">
        <f t="shared" si="12"/>
        <v/>
      </c>
      <c r="H276" s="14" t="str">
        <f t="shared" si="13"/>
        <v/>
      </c>
    </row>
    <row r="277" spans="7:8" x14ac:dyDescent="0.25">
      <c r="G277" s="6" t="str">
        <f t="shared" si="12"/>
        <v/>
      </c>
      <c r="H277" s="14" t="str">
        <f t="shared" si="13"/>
        <v/>
      </c>
    </row>
    <row r="278" spans="7:8" x14ac:dyDescent="0.25">
      <c r="G278" s="6" t="str">
        <f t="shared" si="12"/>
        <v/>
      </c>
      <c r="H278" s="14" t="str">
        <f t="shared" si="13"/>
        <v/>
      </c>
    </row>
    <row r="279" spans="7:8" x14ac:dyDescent="0.25">
      <c r="G279" s="6" t="str">
        <f t="shared" si="12"/>
        <v/>
      </c>
      <c r="H279" s="14" t="str">
        <f t="shared" si="13"/>
        <v/>
      </c>
    </row>
    <row r="280" spans="7:8" x14ac:dyDescent="0.25">
      <c r="G280" s="6" t="str">
        <f t="shared" si="12"/>
        <v/>
      </c>
      <c r="H280" s="14" t="str">
        <f t="shared" si="13"/>
        <v/>
      </c>
    </row>
    <row r="281" spans="7:8" x14ac:dyDescent="0.25">
      <c r="G281" s="6" t="str">
        <f t="shared" si="12"/>
        <v/>
      </c>
      <c r="H281" s="14" t="str">
        <f t="shared" si="13"/>
        <v/>
      </c>
    </row>
    <row r="282" spans="7:8" x14ac:dyDescent="0.25">
      <c r="G282" s="6" t="str">
        <f t="shared" si="12"/>
        <v/>
      </c>
      <c r="H282" s="14" t="str">
        <f t="shared" si="13"/>
        <v/>
      </c>
    </row>
    <row r="283" spans="7:8" x14ac:dyDescent="0.25">
      <c r="G283" s="6" t="str">
        <f t="shared" si="12"/>
        <v/>
      </c>
      <c r="H283" s="14" t="str">
        <f t="shared" si="13"/>
        <v/>
      </c>
    </row>
    <row r="284" spans="7:8" x14ac:dyDescent="0.25">
      <c r="G284" s="6" t="str">
        <f t="shared" si="12"/>
        <v/>
      </c>
      <c r="H284" s="14" t="str">
        <f t="shared" si="13"/>
        <v/>
      </c>
    </row>
    <row r="285" spans="7:8" x14ac:dyDescent="0.25">
      <c r="G285" s="6" t="str">
        <f t="shared" si="12"/>
        <v/>
      </c>
      <c r="H285" s="14" t="str">
        <f t="shared" si="13"/>
        <v/>
      </c>
    </row>
    <row r="286" spans="7:8" x14ac:dyDescent="0.25">
      <c r="G286" s="6" t="str">
        <f t="shared" si="12"/>
        <v/>
      </c>
      <c r="H286" s="14" t="str">
        <f t="shared" si="13"/>
        <v/>
      </c>
    </row>
    <row r="287" spans="7:8" x14ac:dyDescent="0.25">
      <c r="G287" s="6" t="str">
        <f t="shared" si="12"/>
        <v/>
      </c>
      <c r="H287" s="14" t="str">
        <f t="shared" si="13"/>
        <v/>
      </c>
    </row>
    <row r="288" spans="7:8" x14ac:dyDescent="0.25">
      <c r="G288" s="6" t="str">
        <f t="shared" si="12"/>
        <v/>
      </c>
      <c r="H288" s="14" t="str">
        <f t="shared" si="13"/>
        <v/>
      </c>
    </row>
    <row r="289" spans="7:8" x14ac:dyDescent="0.25">
      <c r="G289" s="6" t="str">
        <f t="shared" si="12"/>
        <v/>
      </c>
      <c r="H289" s="14" t="str">
        <f t="shared" si="13"/>
        <v/>
      </c>
    </row>
    <row r="290" spans="7:8" x14ac:dyDescent="0.25">
      <c r="G290" s="6" t="str">
        <f t="shared" si="12"/>
        <v/>
      </c>
      <c r="H290" s="14" t="str">
        <f t="shared" si="13"/>
        <v/>
      </c>
    </row>
    <row r="291" spans="7:8" x14ac:dyDescent="0.25">
      <c r="G291" s="6" t="str">
        <f t="shared" si="12"/>
        <v/>
      </c>
      <c r="H291" s="14" t="str">
        <f t="shared" si="13"/>
        <v/>
      </c>
    </row>
    <row r="292" spans="7:8" x14ac:dyDescent="0.25">
      <c r="G292" s="6" t="str">
        <f t="shared" si="12"/>
        <v/>
      </c>
      <c r="H292" s="14" t="str">
        <f t="shared" si="13"/>
        <v/>
      </c>
    </row>
    <row r="293" spans="7:8" x14ac:dyDescent="0.25">
      <c r="G293" s="6" t="str">
        <f t="shared" si="12"/>
        <v/>
      </c>
      <c r="H293" s="14" t="str">
        <f t="shared" si="13"/>
        <v/>
      </c>
    </row>
    <row r="294" spans="7:8" x14ac:dyDescent="0.25">
      <c r="G294" s="6" t="str">
        <f t="shared" si="12"/>
        <v/>
      </c>
      <c r="H294" s="14" t="str">
        <f t="shared" si="13"/>
        <v/>
      </c>
    </row>
    <row r="295" spans="7:8" x14ac:dyDescent="0.25">
      <c r="G295" s="6" t="str">
        <f t="shared" si="12"/>
        <v/>
      </c>
      <c r="H295" s="14" t="str">
        <f t="shared" si="13"/>
        <v/>
      </c>
    </row>
    <row r="296" spans="7:8" x14ac:dyDescent="0.25">
      <c r="G296" s="6" t="str">
        <f t="shared" si="12"/>
        <v/>
      </c>
      <c r="H296" s="14" t="str">
        <f t="shared" si="13"/>
        <v/>
      </c>
    </row>
    <row r="297" spans="7:8" x14ac:dyDescent="0.25">
      <c r="G297" s="6" t="str">
        <f t="shared" si="12"/>
        <v/>
      </c>
      <c r="H297" s="14" t="str">
        <f t="shared" si="13"/>
        <v/>
      </c>
    </row>
    <row r="298" spans="7:8" x14ac:dyDescent="0.25">
      <c r="G298" s="6" t="str">
        <f t="shared" si="12"/>
        <v/>
      </c>
      <c r="H298" s="14" t="str">
        <f t="shared" si="13"/>
        <v/>
      </c>
    </row>
    <row r="299" spans="7:8" x14ac:dyDescent="0.25">
      <c r="G299" s="6" t="str">
        <f t="shared" si="12"/>
        <v/>
      </c>
      <c r="H299" s="14" t="str">
        <f t="shared" si="13"/>
        <v/>
      </c>
    </row>
    <row r="300" spans="7:8" x14ac:dyDescent="0.25">
      <c r="G300" s="6" t="str">
        <f t="shared" si="12"/>
        <v/>
      </c>
      <c r="H300" s="14" t="str">
        <f t="shared" si="13"/>
        <v/>
      </c>
    </row>
    <row r="301" spans="7:8" x14ac:dyDescent="0.25">
      <c r="G301" s="6" t="str">
        <f t="shared" si="12"/>
        <v/>
      </c>
      <c r="H301" s="14" t="str">
        <f t="shared" si="13"/>
        <v/>
      </c>
    </row>
    <row r="302" spans="7:8" x14ac:dyDescent="0.25">
      <c r="G302" s="6" t="str">
        <f t="shared" si="12"/>
        <v/>
      </c>
      <c r="H302" s="14" t="str">
        <f t="shared" si="13"/>
        <v/>
      </c>
    </row>
    <row r="303" spans="7:8" x14ac:dyDescent="0.25">
      <c r="G303" s="6" t="str">
        <f t="shared" si="12"/>
        <v/>
      </c>
      <c r="H303" s="14" t="str">
        <f t="shared" si="13"/>
        <v/>
      </c>
    </row>
    <row r="304" spans="7:8" x14ac:dyDescent="0.25">
      <c r="G304" s="6" t="str">
        <f t="shared" si="12"/>
        <v/>
      </c>
      <c r="H304" s="14" t="str">
        <f t="shared" si="13"/>
        <v/>
      </c>
    </row>
    <row r="305" spans="7:8" x14ac:dyDescent="0.25">
      <c r="G305" s="6" t="str">
        <f t="shared" si="12"/>
        <v/>
      </c>
      <c r="H305" s="14" t="str">
        <f t="shared" si="13"/>
        <v/>
      </c>
    </row>
    <row r="306" spans="7:8" x14ac:dyDescent="0.25">
      <c r="G306" s="6" t="str">
        <f t="shared" si="12"/>
        <v/>
      </c>
      <c r="H306" s="14" t="str">
        <f t="shared" si="13"/>
        <v/>
      </c>
    </row>
    <row r="307" spans="7:8" x14ac:dyDescent="0.25">
      <c r="G307" s="6" t="str">
        <f t="shared" si="12"/>
        <v/>
      </c>
      <c r="H307" s="14" t="str">
        <f t="shared" si="13"/>
        <v/>
      </c>
    </row>
    <row r="308" spans="7:8" x14ac:dyDescent="0.25">
      <c r="G308" s="6" t="str">
        <f t="shared" si="12"/>
        <v/>
      </c>
      <c r="H308" s="14" t="str">
        <f t="shared" si="13"/>
        <v/>
      </c>
    </row>
    <row r="309" spans="7:8" x14ac:dyDescent="0.25">
      <c r="G309" s="6" t="str">
        <f t="shared" si="12"/>
        <v/>
      </c>
      <c r="H309" s="14" t="str">
        <f t="shared" si="13"/>
        <v/>
      </c>
    </row>
    <row r="310" spans="7:8" x14ac:dyDescent="0.25">
      <c r="G310" s="6" t="str">
        <f t="shared" si="12"/>
        <v/>
      </c>
      <c r="H310" s="14" t="str">
        <f t="shared" si="13"/>
        <v/>
      </c>
    </row>
    <row r="311" spans="7:8" x14ac:dyDescent="0.25">
      <c r="G311" s="6" t="str">
        <f t="shared" si="12"/>
        <v/>
      </c>
      <c r="H311" s="14" t="str">
        <f t="shared" si="13"/>
        <v/>
      </c>
    </row>
    <row r="312" spans="7:8" x14ac:dyDescent="0.25">
      <c r="G312" s="6" t="str">
        <f t="shared" si="12"/>
        <v/>
      </c>
      <c r="H312" s="14" t="str">
        <f t="shared" si="13"/>
        <v/>
      </c>
    </row>
    <row r="313" spans="7:8" x14ac:dyDescent="0.25">
      <c r="G313" s="6" t="str">
        <f t="shared" si="12"/>
        <v/>
      </c>
      <c r="H313" s="14" t="str">
        <f t="shared" si="13"/>
        <v/>
      </c>
    </row>
    <row r="314" spans="7:8" x14ac:dyDescent="0.25">
      <c r="G314" s="6" t="str">
        <f t="shared" si="12"/>
        <v/>
      </c>
      <c r="H314" s="14" t="str">
        <f t="shared" si="13"/>
        <v/>
      </c>
    </row>
    <row r="315" spans="7:8" x14ac:dyDescent="0.25">
      <c r="G315" s="6" t="str">
        <f t="shared" si="12"/>
        <v/>
      </c>
      <c r="H315" s="14" t="str">
        <f t="shared" si="13"/>
        <v/>
      </c>
    </row>
    <row r="316" spans="7:8" x14ac:dyDescent="0.25">
      <c r="G316" s="6" t="str">
        <f t="shared" si="12"/>
        <v/>
      </c>
      <c r="H316" s="14" t="str">
        <f t="shared" si="13"/>
        <v/>
      </c>
    </row>
    <row r="317" spans="7:8" x14ac:dyDescent="0.25">
      <c r="G317" s="6" t="str">
        <f t="shared" si="12"/>
        <v/>
      </c>
      <c r="H317" s="14" t="str">
        <f t="shared" si="13"/>
        <v/>
      </c>
    </row>
    <row r="318" spans="7:8" x14ac:dyDescent="0.25">
      <c r="G318" s="6" t="str">
        <f t="shared" si="12"/>
        <v/>
      </c>
      <c r="H318" s="14" t="str">
        <f t="shared" si="13"/>
        <v/>
      </c>
    </row>
    <row r="319" spans="7:8" x14ac:dyDescent="0.25">
      <c r="G319" s="6" t="str">
        <f t="shared" si="12"/>
        <v/>
      </c>
      <c r="H319" s="14" t="str">
        <f t="shared" si="13"/>
        <v/>
      </c>
    </row>
    <row r="320" spans="7:8" x14ac:dyDescent="0.25">
      <c r="G320" s="6" t="str">
        <f t="shared" si="12"/>
        <v/>
      </c>
      <c r="H320" s="14" t="str">
        <f t="shared" si="13"/>
        <v/>
      </c>
    </row>
    <row r="321" spans="7:8" x14ac:dyDescent="0.25">
      <c r="G321" s="6" t="str">
        <f t="shared" si="12"/>
        <v/>
      </c>
      <c r="H321" s="14" t="str">
        <f t="shared" si="13"/>
        <v/>
      </c>
    </row>
    <row r="322" spans="7:8" x14ac:dyDescent="0.25">
      <c r="G322" s="6" t="str">
        <f t="shared" si="12"/>
        <v/>
      </c>
      <c r="H322" s="14" t="str">
        <f t="shared" si="13"/>
        <v/>
      </c>
    </row>
    <row r="323" spans="7:8" x14ac:dyDescent="0.25">
      <c r="G323" s="6" t="str">
        <f t="shared" si="12"/>
        <v/>
      </c>
      <c r="H323" s="14" t="str">
        <f t="shared" si="13"/>
        <v/>
      </c>
    </row>
    <row r="324" spans="7:8" x14ac:dyDescent="0.25">
      <c r="G324" s="6" t="str">
        <f t="shared" si="12"/>
        <v/>
      </c>
      <c r="H324" s="14" t="str">
        <f t="shared" si="13"/>
        <v/>
      </c>
    </row>
    <row r="325" spans="7:8" x14ac:dyDescent="0.25">
      <c r="G325" s="6" t="str">
        <f t="shared" si="12"/>
        <v/>
      </c>
      <c r="H325" s="14" t="str">
        <f t="shared" si="13"/>
        <v/>
      </c>
    </row>
    <row r="326" spans="7:8" x14ac:dyDescent="0.25">
      <c r="G326" s="6" t="str">
        <f t="shared" si="12"/>
        <v/>
      </c>
      <c r="H326" s="14" t="str">
        <f t="shared" si="13"/>
        <v/>
      </c>
    </row>
    <row r="327" spans="7:8" x14ac:dyDescent="0.25">
      <c r="G327" s="6" t="str">
        <f t="shared" si="12"/>
        <v/>
      </c>
      <c r="H327" s="14" t="str">
        <f t="shared" si="13"/>
        <v/>
      </c>
    </row>
    <row r="328" spans="7:8" x14ac:dyDescent="0.25">
      <c r="G328" s="6" t="str">
        <f t="shared" si="12"/>
        <v/>
      </c>
      <c r="H328" s="14" t="str">
        <f t="shared" si="13"/>
        <v/>
      </c>
    </row>
    <row r="329" spans="7:8" x14ac:dyDescent="0.25">
      <c r="G329" s="6" t="str">
        <f t="shared" si="12"/>
        <v/>
      </c>
      <c r="H329" s="14" t="str">
        <f t="shared" si="13"/>
        <v/>
      </c>
    </row>
    <row r="330" spans="7:8" x14ac:dyDescent="0.25">
      <c r="G330" s="6" t="str">
        <f t="shared" si="12"/>
        <v/>
      </c>
      <c r="H330" s="14" t="str">
        <f t="shared" si="13"/>
        <v/>
      </c>
    </row>
    <row r="331" spans="7:8" x14ac:dyDescent="0.25">
      <c r="G331" s="6" t="str">
        <f t="shared" si="12"/>
        <v/>
      </c>
      <c r="H331" s="14" t="str">
        <f t="shared" si="13"/>
        <v/>
      </c>
    </row>
    <row r="332" spans="7:8" x14ac:dyDescent="0.25">
      <c r="G332" s="6" t="str">
        <f t="shared" si="12"/>
        <v/>
      </c>
      <c r="H332" s="14" t="str">
        <f t="shared" si="13"/>
        <v/>
      </c>
    </row>
    <row r="333" spans="7:8" x14ac:dyDescent="0.25">
      <c r="G333" s="6" t="str">
        <f t="shared" ref="G333:G396" si="14">IF(F333 = "n", "NA", "")</f>
        <v/>
      </c>
      <c r="H333" s="14" t="str">
        <f t="shared" ref="H333:H396" si="15">IF(G333 = "y", "NA", "")</f>
        <v/>
      </c>
    </row>
    <row r="334" spans="7:8" x14ac:dyDescent="0.25">
      <c r="G334" s="6" t="str">
        <f t="shared" si="14"/>
        <v/>
      </c>
      <c r="H334" s="14" t="str">
        <f t="shared" si="15"/>
        <v/>
      </c>
    </row>
    <row r="335" spans="7:8" x14ac:dyDescent="0.25">
      <c r="G335" s="6" t="str">
        <f t="shared" si="14"/>
        <v/>
      </c>
      <c r="H335" s="14" t="str">
        <f t="shared" si="15"/>
        <v/>
      </c>
    </row>
    <row r="336" spans="7:8" x14ac:dyDescent="0.25">
      <c r="G336" s="6" t="str">
        <f t="shared" si="14"/>
        <v/>
      </c>
      <c r="H336" s="14" t="str">
        <f t="shared" si="15"/>
        <v/>
      </c>
    </row>
    <row r="337" spans="7:8" x14ac:dyDescent="0.25">
      <c r="G337" s="6" t="str">
        <f t="shared" si="14"/>
        <v/>
      </c>
      <c r="H337" s="14" t="str">
        <f t="shared" si="15"/>
        <v/>
      </c>
    </row>
    <row r="338" spans="7:8" x14ac:dyDescent="0.25">
      <c r="G338" s="6" t="str">
        <f t="shared" si="14"/>
        <v/>
      </c>
      <c r="H338" s="14" t="str">
        <f t="shared" si="15"/>
        <v/>
      </c>
    </row>
    <row r="339" spans="7:8" x14ac:dyDescent="0.25">
      <c r="G339" s="6" t="str">
        <f t="shared" si="14"/>
        <v/>
      </c>
      <c r="H339" s="14" t="str">
        <f t="shared" si="15"/>
        <v/>
      </c>
    </row>
    <row r="340" spans="7:8" x14ac:dyDescent="0.25">
      <c r="G340" s="6" t="str">
        <f t="shared" si="14"/>
        <v/>
      </c>
      <c r="H340" s="14" t="str">
        <f t="shared" si="15"/>
        <v/>
      </c>
    </row>
    <row r="341" spans="7:8" x14ac:dyDescent="0.25">
      <c r="G341" s="6" t="str">
        <f t="shared" si="14"/>
        <v/>
      </c>
      <c r="H341" s="14" t="str">
        <f t="shared" si="15"/>
        <v/>
      </c>
    </row>
    <row r="342" spans="7:8" x14ac:dyDescent="0.25">
      <c r="G342" s="6" t="str">
        <f t="shared" si="14"/>
        <v/>
      </c>
      <c r="H342" s="14" t="str">
        <f t="shared" si="15"/>
        <v/>
      </c>
    </row>
    <row r="343" spans="7:8" x14ac:dyDescent="0.25">
      <c r="G343" s="6" t="str">
        <f t="shared" si="14"/>
        <v/>
      </c>
      <c r="H343" s="14" t="str">
        <f t="shared" si="15"/>
        <v/>
      </c>
    </row>
    <row r="344" spans="7:8" x14ac:dyDescent="0.25">
      <c r="G344" s="6" t="str">
        <f t="shared" si="14"/>
        <v/>
      </c>
      <c r="H344" s="14" t="str">
        <f t="shared" si="15"/>
        <v/>
      </c>
    </row>
    <row r="345" spans="7:8" x14ac:dyDescent="0.25">
      <c r="G345" s="6" t="str">
        <f t="shared" si="14"/>
        <v/>
      </c>
      <c r="H345" s="14" t="str">
        <f t="shared" si="15"/>
        <v/>
      </c>
    </row>
    <row r="346" spans="7:8" x14ac:dyDescent="0.25">
      <c r="G346" s="6" t="str">
        <f t="shared" si="14"/>
        <v/>
      </c>
      <c r="H346" s="14" t="str">
        <f t="shared" si="15"/>
        <v/>
      </c>
    </row>
    <row r="347" spans="7:8" x14ac:dyDescent="0.25">
      <c r="G347" s="6" t="str">
        <f t="shared" si="14"/>
        <v/>
      </c>
      <c r="H347" s="14" t="str">
        <f t="shared" si="15"/>
        <v/>
      </c>
    </row>
    <row r="348" spans="7:8" x14ac:dyDescent="0.25">
      <c r="G348" s="6" t="str">
        <f t="shared" si="14"/>
        <v/>
      </c>
      <c r="H348" s="14" t="str">
        <f t="shared" si="15"/>
        <v/>
      </c>
    </row>
    <row r="349" spans="7:8" x14ac:dyDescent="0.25">
      <c r="G349" s="6" t="str">
        <f t="shared" si="14"/>
        <v/>
      </c>
      <c r="H349" s="14" t="str">
        <f t="shared" si="15"/>
        <v/>
      </c>
    </row>
    <row r="350" spans="7:8" x14ac:dyDescent="0.25">
      <c r="G350" s="6" t="str">
        <f t="shared" si="14"/>
        <v/>
      </c>
      <c r="H350" s="14" t="str">
        <f t="shared" si="15"/>
        <v/>
      </c>
    </row>
    <row r="351" spans="7:8" x14ac:dyDescent="0.25">
      <c r="G351" s="6" t="str">
        <f t="shared" si="14"/>
        <v/>
      </c>
      <c r="H351" s="14" t="str">
        <f t="shared" si="15"/>
        <v/>
      </c>
    </row>
    <row r="352" spans="7:8" x14ac:dyDescent="0.25">
      <c r="G352" s="6" t="str">
        <f t="shared" si="14"/>
        <v/>
      </c>
      <c r="H352" s="14" t="str">
        <f t="shared" si="15"/>
        <v/>
      </c>
    </row>
    <row r="353" spans="7:8" x14ac:dyDescent="0.25">
      <c r="G353" s="6" t="str">
        <f t="shared" si="14"/>
        <v/>
      </c>
      <c r="H353" s="14" t="str">
        <f t="shared" si="15"/>
        <v/>
      </c>
    </row>
    <row r="354" spans="7:8" x14ac:dyDescent="0.25">
      <c r="G354" s="6" t="str">
        <f t="shared" si="14"/>
        <v/>
      </c>
      <c r="H354" s="14" t="str">
        <f t="shared" si="15"/>
        <v/>
      </c>
    </row>
    <row r="355" spans="7:8" x14ac:dyDescent="0.25">
      <c r="G355" s="6" t="str">
        <f t="shared" si="14"/>
        <v/>
      </c>
      <c r="H355" s="14" t="str">
        <f t="shared" si="15"/>
        <v/>
      </c>
    </row>
    <row r="356" spans="7:8" x14ac:dyDescent="0.25">
      <c r="G356" s="6" t="str">
        <f t="shared" si="14"/>
        <v/>
      </c>
      <c r="H356" s="14" t="str">
        <f t="shared" si="15"/>
        <v/>
      </c>
    </row>
    <row r="357" spans="7:8" x14ac:dyDescent="0.25">
      <c r="G357" s="6" t="str">
        <f t="shared" si="14"/>
        <v/>
      </c>
      <c r="H357" s="14" t="str">
        <f t="shared" si="15"/>
        <v/>
      </c>
    </row>
    <row r="358" spans="7:8" x14ac:dyDescent="0.25">
      <c r="G358" s="6" t="str">
        <f t="shared" si="14"/>
        <v/>
      </c>
      <c r="H358" s="14" t="str">
        <f t="shared" si="15"/>
        <v/>
      </c>
    </row>
    <row r="359" spans="7:8" x14ac:dyDescent="0.25">
      <c r="G359" s="6" t="str">
        <f t="shared" si="14"/>
        <v/>
      </c>
      <c r="H359" s="14" t="str">
        <f t="shared" si="15"/>
        <v/>
      </c>
    </row>
    <row r="360" spans="7:8" x14ac:dyDescent="0.25">
      <c r="G360" s="6" t="str">
        <f t="shared" si="14"/>
        <v/>
      </c>
      <c r="H360" s="14" t="str">
        <f t="shared" si="15"/>
        <v/>
      </c>
    </row>
    <row r="361" spans="7:8" x14ac:dyDescent="0.25">
      <c r="G361" s="6" t="str">
        <f t="shared" si="14"/>
        <v/>
      </c>
      <c r="H361" s="14" t="str">
        <f t="shared" si="15"/>
        <v/>
      </c>
    </row>
    <row r="362" spans="7:8" x14ac:dyDescent="0.25">
      <c r="G362" s="6" t="str">
        <f t="shared" si="14"/>
        <v/>
      </c>
      <c r="H362" s="14" t="str">
        <f t="shared" si="15"/>
        <v/>
      </c>
    </row>
    <row r="363" spans="7:8" x14ac:dyDescent="0.25">
      <c r="G363" s="6" t="str">
        <f t="shared" si="14"/>
        <v/>
      </c>
      <c r="H363" s="14" t="str">
        <f t="shared" si="15"/>
        <v/>
      </c>
    </row>
    <row r="364" spans="7:8" x14ac:dyDescent="0.25">
      <c r="G364" s="6" t="str">
        <f t="shared" si="14"/>
        <v/>
      </c>
      <c r="H364" s="14" t="str">
        <f t="shared" si="15"/>
        <v/>
      </c>
    </row>
    <row r="365" spans="7:8" x14ac:dyDescent="0.25">
      <c r="G365" s="6" t="str">
        <f t="shared" si="14"/>
        <v/>
      </c>
      <c r="H365" s="14" t="str">
        <f t="shared" si="15"/>
        <v/>
      </c>
    </row>
    <row r="366" spans="7:8" x14ac:dyDescent="0.25">
      <c r="G366" s="6" t="str">
        <f t="shared" si="14"/>
        <v/>
      </c>
      <c r="H366" s="14" t="str">
        <f t="shared" si="15"/>
        <v/>
      </c>
    </row>
    <row r="367" spans="7:8" x14ac:dyDescent="0.25">
      <c r="G367" s="6" t="str">
        <f t="shared" si="14"/>
        <v/>
      </c>
      <c r="H367" s="14" t="str">
        <f t="shared" si="15"/>
        <v/>
      </c>
    </row>
    <row r="368" spans="7:8" x14ac:dyDescent="0.25">
      <c r="G368" s="6" t="str">
        <f t="shared" si="14"/>
        <v/>
      </c>
      <c r="H368" s="14" t="str">
        <f t="shared" si="15"/>
        <v/>
      </c>
    </row>
    <row r="369" spans="7:8" x14ac:dyDescent="0.25">
      <c r="G369" s="6" t="str">
        <f t="shared" si="14"/>
        <v/>
      </c>
      <c r="H369" s="14" t="str">
        <f t="shared" si="15"/>
        <v/>
      </c>
    </row>
    <row r="370" spans="7:8" x14ac:dyDescent="0.25">
      <c r="G370" s="6" t="str">
        <f t="shared" si="14"/>
        <v/>
      </c>
      <c r="H370" s="14" t="str">
        <f t="shared" si="15"/>
        <v/>
      </c>
    </row>
    <row r="371" spans="7:8" x14ac:dyDescent="0.25">
      <c r="G371" s="6" t="str">
        <f t="shared" si="14"/>
        <v/>
      </c>
      <c r="H371" s="14" t="str">
        <f t="shared" si="15"/>
        <v/>
      </c>
    </row>
    <row r="372" spans="7:8" x14ac:dyDescent="0.25">
      <c r="G372" s="6" t="str">
        <f t="shared" si="14"/>
        <v/>
      </c>
      <c r="H372" s="14" t="str">
        <f t="shared" si="15"/>
        <v/>
      </c>
    </row>
    <row r="373" spans="7:8" x14ac:dyDescent="0.25">
      <c r="G373" s="6" t="str">
        <f t="shared" si="14"/>
        <v/>
      </c>
      <c r="H373" s="14" t="str">
        <f t="shared" si="15"/>
        <v/>
      </c>
    </row>
    <row r="374" spans="7:8" x14ac:dyDescent="0.25">
      <c r="G374" s="6" t="str">
        <f t="shared" si="14"/>
        <v/>
      </c>
      <c r="H374" s="14" t="str">
        <f t="shared" si="15"/>
        <v/>
      </c>
    </row>
    <row r="375" spans="7:8" x14ac:dyDescent="0.25">
      <c r="G375" s="6" t="str">
        <f t="shared" si="14"/>
        <v/>
      </c>
      <c r="H375" s="14" t="str">
        <f t="shared" si="15"/>
        <v/>
      </c>
    </row>
    <row r="376" spans="7:8" x14ac:dyDescent="0.25">
      <c r="G376" s="6" t="str">
        <f t="shared" si="14"/>
        <v/>
      </c>
      <c r="H376" s="14" t="str">
        <f t="shared" si="15"/>
        <v/>
      </c>
    </row>
    <row r="377" spans="7:8" x14ac:dyDescent="0.25">
      <c r="G377" s="6" t="str">
        <f t="shared" si="14"/>
        <v/>
      </c>
      <c r="H377" s="14" t="str">
        <f t="shared" si="15"/>
        <v/>
      </c>
    </row>
    <row r="378" spans="7:8" x14ac:dyDescent="0.25">
      <c r="G378" s="6" t="str">
        <f t="shared" si="14"/>
        <v/>
      </c>
      <c r="H378" s="14" t="str">
        <f t="shared" si="15"/>
        <v/>
      </c>
    </row>
    <row r="379" spans="7:8" x14ac:dyDescent="0.25">
      <c r="G379" s="6" t="str">
        <f t="shared" si="14"/>
        <v/>
      </c>
      <c r="H379" s="14" t="str">
        <f t="shared" si="15"/>
        <v/>
      </c>
    </row>
    <row r="380" spans="7:8" x14ac:dyDescent="0.25">
      <c r="G380" s="6" t="str">
        <f t="shared" si="14"/>
        <v/>
      </c>
      <c r="H380" s="14" t="str">
        <f t="shared" si="15"/>
        <v/>
      </c>
    </row>
    <row r="381" spans="7:8" x14ac:dyDescent="0.25">
      <c r="G381" s="6" t="str">
        <f t="shared" si="14"/>
        <v/>
      </c>
      <c r="H381" s="14" t="str">
        <f t="shared" si="15"/>
        <v/>
      </c>
    </row>
    <row r="382" spans="7:8" x14ac:dyDescent="0.25">
      <c r="G382" s="6" t="str">
        <f t="shared" si="14"/>
        <v/>
      </c>
      <c r="H382" s="14" t="str">
        <f t="shared" si="15"/>
        <v/>
      </c>
    </row>
    <row r="383" spans="7:8" x14ac:dyDescent="0.25">
      <c r="G383" s="6" t="str">
        <f t="shared" si="14"/>
        <v/>
      </c>
      <c r="H383" s="14" t="str">
        <f t="shared" si="15"/>
        <v/>
      </c>
    </row>
    <row r="384" spans="7:8" x14ac:dyDescent="0.25">
      <c r="G384" s="6" t="str">
        <f t="shared" si="14"/>
        <v/>
      </c>
      <c r="H384" s="14" t="str">
        <f t="shared" si="15"/>
        <v/>
      </c>
    </row>
    <row r="385" spans="7:8" x14ac:dyDescent="0.25">
      <c r="G385" s="6" t="str">
        <f t="shared" si="14"/>
        <v/>
      </c>
      <c r="H385" s="14" t="str">
        <f t="shared" si="15"/>
        <v/>
      </c>
    </row>
    <row r="386" spans="7:8" x14ac:dyDescent="0.25">
      <c r="G386" s="6" t="str">
        <f t="shared" si="14"/>
        <v/>
      </c>
      <c r="H386" s="14" t="str">
        <f t="shared" si="15"/>
        <v/>
      </c>
    </row>
    <row r="387" spans="7:8" x14ac:dyDescent="0.25">
      <c r="G387" s="6" t="str">
        <f t="shared" si="14"/>
        <v/>
      </c>
      <c r="H387" s="14" t="str">
        <f t="shared" si="15"/>
        <v/>
      </c>
    </row>
    <row r="388" spans="7:8" x14ac:dyDescent="0.25">
      <c r="G388" s="6" t="str">
        <f t="shared" si="14"/>
        <v/>
      </c>
      <c r="H388" s="14" t="str">
        <f t="shared" si="15"/>
        <v/>
      </c>
    </row>
    <row r="389" spans="7:8" x14ac:dyDescent="0.25">
      <c r="G389" s="6" t="str">
        <f t="shared" si="14"/>
        <v/>
      </c>
      <c r="H389" s="14" t="str">
        <f t="shared" si="15"/>
        <v/>
      </c>
    </row>
    <row r="390" spans="7:8" x14ac:dyDescent="0.25">
      <c r="G390" s="6" t="str">
        <f t="shared" si="14"/>
        <v/>
      </c>
      <c r="H390" s="14" t="str">
        <f t="shared" si="15"/>
        <v/>
      </c>
    </row>
    <row r="391" spans="7:8" x14ac:dyDescent="0.25">
      <c r="G391" s="6" t="str">
        <f t="shared" si="14"/>
        <v/>
      </c>
      <c r="H391" s="14" t="str">
        <f t="shared" si="15"/>
        <v/>
      </c>
    </row>
    <row r="392" spans="7:8" x14ac:dyDescent="0.25">
      <c r="G392" s="6" t="str">
        <f t="shared" si="14"/>
        <v/>
      </c>
      <c r="H392" s="14" t="str">
        <f t="shared" si="15"/>
        <v/>
      </c>
    </row>
    <row r="393" spans="7:8" x14ac:dyDescent="0.25">
      <c r="G393" s="6" t="str">
        <f t="shared" si="14"/>
        <v/>
      </c>
      <c r="H393" s="14" t="str">
        <f t="shared" si="15"/>
        <v/>
      </c>
    </row>
    <row r="394" spans="7:8" x14ac:dyDescent="0.25">
      <c r="G394" s="6" t="str">
        <f t="shared" si="14"/>
        <v/>
      </c>
      <c r="H394" s="14" t="str">
        <f t="shared" si="15"/>
        <v/>
      </c>
    </row>
    <row r="395" spans="7:8" x14ac:dyDescent="0.25">
      <c r="G395" s="6" t="str">
        <f t="shared" si="14"/>
        <v/>
      </c>
      <c r="H395" s="14" t="str">
        <f t="shared" si="15"/>
        <v/>
      </c>
    </row>
    <row r="396" spans="7:8" x14ac:dyDescent="0.25">
      <c r="G396" s="6" t="str">
        <f t="shared" si="14"/>
        <v/>
      </c>
      <c r="H396" s="14" t="str">
        <f t="shared" si="15"/>
        <v/>
      </c>
    </row>
    <row r="397" spans="7:8" x14ac:dyDescent="0.25">
      <c r="G397" s="6" t="str">
        <f t="shared" ref="G397:G460" si="16">IF(F397 = "n", "NA", "")</f>
        <v/>
      </c>
      <c r="H397" s="14" t="str">
        <f t="shared" ref="H397:H460" si="17">IF(G397 = "y", "NA", "")</f>
        <v/>
      </c>
    </row>
    <row r="398" spans="7:8" x14ac:dyDescent="0.25">
      <c r="G398" s="6" t="str">
        <f t="shared" si="16"/>
        <v/>
      </c>
      <c r="H398" s="14" t="str">
        <f t="shared" si="17"/>
        <v/>
      </c>
    </row>
    <row r="399" spans="7:8" x14ac:dyDescent="0.25">
      <c r="G399" s="6" t="str">
        <f t="shared" si="16"/>
        <v/>
      </c>
      <c r="H399" s="14" t="str">
        <f t="shared" si="17"/>
        <v/>
      </c>
    </row>
    <row r="400" spans="7:8" x14ac:dyDescent="0.25">
      <c r="G400" s="6" t="str">
        <f t="shared" si="16"/>
        <v/>
      </c>
      <c r="H400" s="14" t="str">
        <f t="shared" si="17"/>
        <v/>
      </c>
    </row>
    <row r="401" spans="7:8" x14ac:dyDescent="0.25">
      <c r="G401" s="6" t="str">
        <f t="shared" si="16"/>
        <v/>
      </c>
      <c r="H401" s="14" t="str">
        <f t="shared" si="17"/>
        <v/>
      </c>
    </row>
    <row r="402" spans="7:8" x14ac:dyDescent="0.25">
      <c r="G402" s="6" t="str">
        <f t="shared" si="16"/>
        <v/>
      </c>
      <c r="H402" s="14" t="str">
        <f t="shared" si="17"/>
        <v/>
      </c>
    </row>
    <row r="403" spans="7:8" x14ac:dyDescent="0.25">
      <c r="G403" s="6" t="str">
        <f t="shared" si="16"/>
        <v/>
      </c>
      <c r="H403" s="14" t="str">
        <f t="shared" si="17"/>
        <v/>
      </c>
    </row>
    <row r="404" spans="7:8" x14ac:dyDescent="0.25">
      <c r="G404" s="6" t="str">
        <f t="shared" si="16"/>
        <v/>
      </c>
      <c r="H404" s="14" t="str">
        <f t="shared" si="17"/>
        <v/>
      </c>
    </row>
    <row r="405" spans="7:8" x14ac:dyDescent="0.25">
      <c r="G405" s="6" t="str">
        <f t="shared" si="16"/>
        <v/>
      </c>
      <c r="H405" s="14" t="str">
        <f t="shared" si="17"/>
        <v/>
      </c>
    </row>
    <row r="406" spans="7:8" x14ac:dyDescent="0.25">
      <c r="G406" s="6" t="str">
        <f t="shared" si="16"/>
        <v/>
      </c>
      <c r="H406" s="14" t="str">
        <f t="shared" si="17"/>
        <v/>
      </c>
    </row>
    <row r="407" spans="7:8" x14ac:dyDescent="0.25">
      <c r="G407" s="6" t="str">
        <f t="shared" si="16"/>
        <v/>
      </c>
      <c r="H407" s="14" t="str">
        <f t="shared" si="17"/>
        <v/>
      </c>
    </row>
    <row r="408" spans="7:8" x14ac:dyDescent="0.25">
      <c r="G408" s="6" t="str">
        <f t="shared" si="16"/>
        <v/>
      </c>
      <c r="H408" s="14" t="str">
        <f t="shared" si="17"/>
        <v/>
      </c>
    </row>
    <row r="409" spans="7:8" x14ac:dyDescent="0.25">
      <c r="G409" s="6" t="str">
        <f t="shared" si="16"/>
        <v/>
      </c>
      <c r="H409" s="14" t="str">
        <f t="shared" si="17"/>
        <v/>
      </c>
    </row>
    <row r="410" spans="7:8" x14ac:dyDescent="0.25">
      <c r="G410" s="6" t="str">
        <f t="shared" si="16"/>
        <v/>
      </c>
      <c r="H410" s="14" t="str">
        <f t="shared" si="17"/>
        <v/>
      </c>
    </row>
    <row r="411" spans="7:8" x14ac:dyDescent="0.25">
      <c r="G411" s="6" t="str">
        <f t="shared" si="16"/>
        <v/>
      </c>
      <c r="H411" s="14" t="str">
        <f t="shared" si="17"/>
        <v/>
      </c>
    </row>
    <row r="412" spans="7:8" x14ac:dyDescent="0.25">
      <c r="G412" s="6" t="str">
        <f t="shared" si="16"/>
        <v/>
      </c>
      <c r="H412" s="14" t="str">
        <f t="shared" si="17"/>
        <v/>
      </c>
    </row>
    <row r="413" spans="7:8" x14ac:dyDescent="0.25">
      <c r="G413" s="6" t="str">
        <f t="shared" si="16"/>
        <v/>
      </c>
      <c r="H413" s="14" t="str">
        <f t="shared" si="17"/>
        <v/>
      </c>
    </row>
    <row r="414" spans="7:8" x14ac:dyDescent="0.25">
      <c r="G414" s="6" t="str">
        <f t="shared" si="16"/>
        <v/>
      </c>
      <c r="H414" s="14" t="str">
        <f t="shared" si="17"/>
        <v/>
      </c>
    </row>
    <row r="415" spans="7:8" x14ac:dyDescent="0.25">
      <c r="G415" s="6" t="str">
        <f t="shared" si="16"/>
        <v/>
      </c>
      <c r="H415" s="14" t="str">
        <f t="shared" si="17"/>
        <v/>
      </c>
    </row>
    <row r="416" spans="7:8" x14ac:dyDescent="0.25">
      <c r="G416" s="6" t="str">
        <f t="shared" si="16"/>
        <v/>
      </c>
      <c r="H416" s="14" t="str">
        <f t="shared" si="17"/>
        <v/>
      </c>
    </row>
    <row r="417" spans="7:8" x14ac:dyDescent="0.25">
      <c r="G417" s="6" t="str">
        <f t="shared" si="16"/>
        <v/>
      </c>
      <c r="H417" s="14" t="str">
        <f t="shared" si="17"/>
        <v/>
      </c>
    </row>
    <row r="418" spans="7:8" x14ac:dyDescent="0.25">
      <c r="G418" s="6" t="str">
        <f t="shared" si="16"/>
        <v/>
      </c>
      <c r="H418" s="14" t="str">
        <f t="shared" si="17"/>
        <v/>
      </c>
    </row>
    <row r="419" spans="7:8" x14ac:dyDescent="0.25">
      <c r="G419" s="6" t="str">
        <f t="shared" si="16"/>
        <v/>
      </c>
      <c r="H419" s="14" t="str">
        <f t="shared" si="17"/>
        <v/>
      </c>
    </row>
    <row r="420" spans="7:8" x14ac:dyDescent="0.25">
      <c r="G420" s="6" t="str">
        <f t="shared" si="16"/>
        <v/>
      </c>
      <c r="H420" s="14" t="str">
        <f t="shared" si="17"/>
        <v/>
      </c>
    </row>
    <row r="421" spans="7:8" x14ac:dyDescent="0.25">
      <c r="G421" s="6" t="str">
        <f t="shared" si="16"/>
        <v/>
      </c>
      <c r="H421" s="14" t="str">
        <f t="shared" si="17"/>
        <v/>
      </c>
    </row>
    <row r="422" spans="7:8" x14ac:dyDescent="0.25">
      <c r="G422" s="6" t="str">
        <f t="shared" si="16"/>
        <v/>
      </c>
      <c r="H422" s="14" t="str">
        <f t="shared" si="17"/>
        <v/>
      </c>
    </row>
    <row r="423" spans="7:8" x14ac:dyDescent="0.25">
      <c r="G423" s="6" t="str">
        <f t="shared" si="16"/>
        <v/>
      </c>
      <c r="H423" s="14" t="str">
        <f t="shared" si="17"/>
        <v/>
      </c>
    </row>
    <row r="424" spans="7:8" x14ac:dyDescent="0.25">
      <c r="G424" s="6" t="str">
        <f t="shared" si="16"/>
        <v/>
      </c>
      <c r="H424" s="14" t="str">
        <f t="shared" si="17"/>
        <v/>
      </c>
    </row>
    <row r="425" spans="7:8" x14ac:dyDescent="0.25">
      <c r="G425" s="6" t="str">
        <f t="shared" si="16"/>
        <v/>
      </c>
      <c r="H425" s="14" t="str">
        <f t="shared" si="17"/>
        <v/>
      </c>
    </row>
    <row r="426" spans="7:8" x14ac:dyDescent="0.25">
      <c r="G426" s="6" t="str">
        <f t="shared" si="16"/>
        <v/>
      </c>
      <c r="H426" s="14" t="str">
        <f t="shared" si="17"/>
        <v/>
      </c>
    </row>
    <row r="427" spans="7:8" x14ac:dyDescent="0.25">
      <c r="G427" s="6" t="str">
        <f t="shared" si="16"/>
        <v/>
      </c>
      <c r="H427" s="14" t="str">
        <f t="shared" si="17"/>
        <v/>
      </c>
    </row>
    <row r="428" spans="7:8" x14ac:dyDescent="0.25">
      <c r="G428" s="6" t="str">
        <f t="shared" si="16"/>
        <v/>
      </c>
      <c r="H428" s="14" t="str">
        <f t="shared" si="17"/>
        <v/>
      </c>
    </row>
    <row r="429" spans="7:8" x14ac:dyDescent="0.25">
      <c r="G429" s="6" t="str">
        <f t="shared" si="16"/>
        <v/>
      </c>
      <c r="H429" s="14" t="str">
        <f t="shared" si="17"/>
        <v/>
      </c>
    </row>
    <row r="430" spans="7:8" x14ac:dyDescent="0.25">
      <c r="G430" s="6" t="str">
        <f t="shared" si="16"/>
        <v/>
      </c>
      <c r="H430" s="14" t="str">
        <f t="shared" si="17"/>
        <v/>
      </c>
    </row>
    <row r="431" spans="7:8" x14ac:dyDescent="0.25">
      <c r="G431" s="6" t="str">
        <f t="shared" si="16"/>
        <v/>
      </c>
      <c r="H431" s="14" t="str">
        <f t="shared" si="17"/>
        <v/>
      </c>
    </row>
    <row r="432" spans="7:8" x14ac:dyDescent="0.25">
      <c r="G432" s="6" t="str">
        <f t="shared" si="16"/>
        <v/>
      </c>
      <c r="H432" s="14" t="str">
        <f t="shared" si="17"/>
        <v/>
      </c>
    </row>
    <row r="433" spans="7:8" x14ac:dyDescent="0.25">
      <c r="G433" s="6" t="str">
        <f t="shared" si="16"/>
        <v/>
      </c>
      <c r="H433" s="14" t="str">
        <f t="shared" si="17"/>
        <v/>
      </c>
    </row>
    <row r="434" spans="7:8" x14ac:dyDescent="0.25">
      <c r="G434" s="6" t="str">
        <f t="shared" si="16"/>
        <v/>
      </c>
      <c r="H434" s="14" t="str">
        <f t="shared" si="17"/>
        <v/>
      </c>
    </row>
    <row r="435" spans="7:8" x14ac:dyDescent="0.25">
      <c r="G435" s="6" t="str">
        <f t="shared" si="16"/>
        <v/>
      </c>
      <c r="H435" s="14" t="str">
        <f t="shared" si="17"/>
        <v/>
      </c>
    </row>
    <row r="436" spans="7:8" x14ac:dyDescent="0.25">
      <c r="G436" s="6" t="str">
        <f t="shared" si="16"/>
        <v/>
      </c>
      <c r="H436" s="14" t="str">
        <f t="shared" si="17"/>
        <v/>
      </c>
    </row>
    <row r="437" spans="7:8" x14ac:dyDescent="0.25">
      <c r="G437" s="6" t="str">
        <f t="shared" si="16"/>
        <v/>
      </c>
      <c r="H437" s="14" t="str">
        <f t="shared" si="17"/>
        <v/>
      </c>
    </row>
    <row r="438" spans="7:8" x14ac:dyDescent="0.25">
      <c r="G438" s="6" t="str">
        <f t="shared" si="16"/>
        <v/>
      </c>
      <c r="H438" s="14" t="str">
        <f t="shared" si="17"/>
        <v/>
      </c>
    </row>
    <row r="439" spans="7:8" x14ac:dyDescent="0.25">
      <c r="G439" s="6" t="str">
        <f t="shared" si="16"/>
        <v/>
      </c>
      <c r="H439" s="14" t="str">
        <f t="shared" si="17"/>
        <v/>
      </c>
    </row>
    <row r="440" spans="7:8" x14ac:dyDescent="0.25">
      <c r="G440" s="6" t="str">
        <f t="shared" si="16"/>
        <v/>
      </c>
      <c r="H440" s="14" t="str">
        <f t="shared" si="17"/>
        <v/>
      </c>
    </row>
    <row r="441" spans="7:8" x14ac:dyDescent="0.25">
      <c r="G441" s="6" t="str">
        <f t="shared" si="16"/>
        <v/>
      </c>
      <c r="H441" s="14" t="str">
        <f t="shared" si="17"/>
        <v/>
      </c>
    </row>
    <row r="442" spans="7:8" x14ac:dyDescent="0.25">
      <c r="G442" s="6" t="str">
        <f t="shared" si="16"/>
        <v/>
      </c>
      <c r="H442" s="14" t="str">
        <f t="shared" si="17"/>
        <v/>
      </c>
    </row>
    <row r="443" spans="7:8" x14ac:dyDescent="0.25">
      <c r="G443" s="6" t="str">
        <f t="shared" si="16"/>
        <v/>
      </c>
      <c r="H443" s="14" t="str">
        <f t="shared" si="17"/>
        <v/>
      </c>
    </row>
    <row r="444" spans="7:8" x14ac:dyDescent="0.25">
      <c r="G444" s="6" t="str">
        <f t="shared" si="16"/>
        <v/>
      </c>
      <c r="H444" s="14" t="str">
        <f t="shared" si="17"/>
        <v/>
      </c>
    </row>
    <row r="445" spans="7:8" x14ac:dyDescent="0.25">
      <c r="G445" s="6" t="str">
        <f t="shared" si="16"/>
        <v/>
      </c>
      <c r="H445" s="14" t="str">
        <f t="shared" si="17"/>
        <v/>
      </c>
    </row>
    <row r="446" spans="7:8" x14ac:dyDescent="0.25">
      <c r="G446" s="6" t="str">
        <f t="shared" si="16"/>
        <v/>
      </c>
      <c r="H446" s="14" t="str">
        <f t="shared" si="17"/>
        <v/>
      </c>
    </row>
    <row r="447" spans="7:8" x14ac:dyDescent="0.25">
      <c r="G447" s="6" t="str">
        <f t="shared" si="16"/>
        <v/>
      </c>
      <c r="H447" s="14" t="str">
        <f t="shared" si="17"/>
        <v/>
      </c>
    </row>
    <row r="448" spans="7:8" x14ac:dyDescent="0.25">
      <c r="G448" s="6" t="str">
        <f t="shared" si="16"/>
        <v/>
      </c>
      <c r="H448" s="14" t="str">
        <f t="shared" si="17"/>
        <v/>
      </c>
    </row>
    <row r="449" spans="7:8" x14ac:dyDescent="0.25">
      <c r="G449" s="6" t="str">
        <f t="shared" si="16"/>
        <v/>
      </c>
      <c r="H449" s="14" t="str">
        <f t="shared" si="17"/>
        <v/>
      </c>
    </row>
    <row r="450" spans="7:8" x14ac:dyDescent="0.25">
      <c r="G450" s="6" t="str">
        <f t="shared" si="16"/>
        <v/>
      </c>
      <c r="H450" s="14" t="str">
        <f t="shared" si="17"/>
        <v/>
      </c>
    </row>
    <row r="451" spans="7:8" x14ac:dyDescent="0.25">
      <c r="G451" s="6" t="str">
        <f t="shared" si="16"/>
        <v/>
      </c>
      <c r="H451" s="14" t="str">
        <f t="shared" si="17"/>
        <v/>
      </c>
    </row>
    <row r="452" spans="7:8" x14ac:dyDescent="0.25">
      <c r="G452" s="6" t="str">
        <f t="shared" si="16"/>
        <v/>
      </c>
      <c r="H452" s="14" t="str">
        <f t="shared" si="17"/>
        <v/>
      </c>
    </row>
    <row r="453" spans="7:8" x14ac:dyDescent="0.25">
      <c r="G453" s="6" t="str">
        <f t="shared" si="16"/>
        <v/>
      </c>
      <c r="H453" s="14" t="str">
        <f t="shared" si="17"/>
        <v/>
      </c>
    </row>
    <row r="454" spans="7:8" x14ac:dyDescent="0.25">
      <c r="G454" s="6" t="str">
        <f t="shared" si="16"/>
        <v/>
      </c>
      <c r="H454" s="14" t="str">
        <f t="shared" si="17"/>
        <v/>
      </c>
    </row>
    <row r="455" spans="7:8" x14ac:dyDescent="0.25">
      <c r="G455" s="6" t="str">
        <f t="shared" si="16"/>
        <v/>
      </c>
      <c r="H455" s="14" t="str">
        <f t="shared" si="17"/>
        <v/>
      </c>
    </row>
    <row r="456" spans="7:8" x14ac:dyDescent="0.25">
      <c r="G456" s="6" t="str">
        <f t="shared" si="16"/>
        <v/>
      </c>
      <c r="H456" s="14" t="str">
        <f t="shared" si="17"/>
        <v/>
      </c>
    </row>
    <row r="457" spans="7:8" x14ac:dyDescent="0.25">
      <c r="G457" s="6" t="str">
        <f t="shared" si="16"/>
        <v/>
      </c>
      <c r="H457" s="14" t="str">
        <f t="shared" si="17"/>
        <v/>
      </c>
    </row>
    <row r="458" spans="7:8" x14ac:dyDescent="0.25">
      <c r="G458" s="6" t="str">
        <f t="shared" si="16"/>
        <v/>
      </c>
      <c r="H458" s="14" t="str">
        <f t="shared" si="17"/>
        <v/>
      </c>
    </row>
    <row r="459" spans="7:8" x14ac:dyDescent="0.25">
      <c r="G459" s="6" t="str">
        <f t="shared" si="16"/>
        <v/>
      </c>
      <c r="H459" s="14" t="str">
        <f t="shared" si="17"/>
        <v/>
      </c>
    </row>
    <row r="460" spans="7:8" x14ac:dyDescent="0.25">
      <c r="G460" s="6" t="str">
        <f t="shared" si="16"/>
        <v/>
      </c>
      <c r="H460" s="14" t="str">
        <f t="shared" si="17"/>
        <v/>
      </c>
    </row>
    <row r="461" spans="7:8" x14ac:dyDescent="0.25">
      <c r="G461" s="6" t="str">
        <f t="shared" ref="G461:G498" si="18">IF(F461 = "n", "NA", "")</f>
        <v/>
      </c>
      <c r="H461" s="14" t="str">
        <f t="shared" ref="H461:H498" si="19">IF(G461 = "y", "NA", "")</f>
        <v/>
      </c>
    </row>
    <row r="462" spans="7:8" x14ac:dyDescent="0.25">
      <c r="G462" s="6" t="str">
        <f t="shared" si="18"/>
        <v/>
      </c>
      <c r="H462" s="14" t="str">
        <f t="shared" si="19"/>
        <v/>
      </c>
    </row>
    <row r="463" spans="7:8" x14ac:dyDescent="0.25">
      <c r="G463" s="6" t="str">
        <f t="shared" si="18"/>
        <v/>
      </c>
      <c r="H463" s="14" t="str">
        <f t="shared" si="19"/>
        <v/>
      </c>
    </row>
    <row r="464" spans="7:8" x14ac:dyDescent="0.25">
      <c r="G464" s="6" t="str">
        <f t="shared" si="18"/>
        <v/>
      </c>
      <c r="H464" s="14" t="str">
        <f t="shared" si="19"/>
        <v/>
      </c>
    </row>
    <row r="465" spans="7:8" x14ac:dyDescent="0.25">
      <c r="G465" s="6" t="str">
        <f t="shared" si="18"/>
        <v/>
      </c>
      <c r="H465" s="14" t="str">
        <f t="shared" si="19"/>
        <v/>
      </c>
    </row>
    <row r="466" spans="7:8" x14ac:dyDescent="0.25">
      <c r="G466" s="6" t="str">
        <f t="shared" si="18"/>
        <v/>
      </c>
      <c r="H466" s="14" t="str">
        <f t="shared" si="19"/>
        <v/>
      </c>
    </row>
    <row r="467" spans="7:8" x14ac:dyDescent="0.25">
      <c r="G467" s="6" t="str">
        <f t="shared" si="18"/>
        <v/>
      </c>
      <c r="H467" s="14" t="str">
        <f t="shared" si="19"/>
        <v/>
      </c>
    </row>
    <row r="468" spans="7:8" x14ac:dyDescent="0.25">
      <c r="G468" s="6" t="str">
        <f t="shared" si="18"/>
        <v/>
      </c>
      <c r="H468" s="14" t="str">
        <f t="shared" si="19"/>
        <v/>
      </c>
    </row>
    <row r="469" spans="7:8" x14ac:dyDescent="0.25">
      <c r="G469" s="6" t="str">
        <f t="shared" si="18"/>
        <v/>
      </c>
      <c r="H469" s="14" t="str">
        <f t="shared" si="19"/>
        <v/>
      </c>
    </row>
    <row r="470" spans="7:8" x14ac:dyDescent="0.25">
      <c r="G470" s="6" t="str">
        <f t="shared" si="18"/>
        <v/>
      </c>
      <c r="H470" s="14" t="str">
        <f t="shared" si="19"/>
        <v/>
      </c>
    </row>
    <row r="471" spans="7:8" x14ac:dyDescent="0.25">
      <c r="G471" s="6" t="str">
        <f t="shared" si="18"/>
        <v/>
      </c>
      <c r="H471" s="14" t="str">
        <f t="shared" si="19"/>
        <v/>
      </c>
    </row>
    <row r="472" spans="7:8" x14ac:dyDescent="0.25">
      <c r="G472" s="6" t="str">
        <f t="shared" si="18"/>
        <v/>
      </c>
      <c r="H472" s="14" t="str">
        <f t="shared" si="19"/>
        <v/>
      </c>
    </row>
    <row r="473" spans="7:8" x14ac:dyDescent="0.25">
      <c r="G473" s="6" t="str">
        <f t="shared" si="18"/>
        <v/>
      </c>
      <c r="H473" s="14" t="str">
        <f t="shared" si="19"/>
        <v/>
      </c>
    </row>
    <row r="474" spans="7:8" x14ac:dyDescent="0.25">
      <c r="G474" s="6" t="str">
        <f t="shared" si="18"/>
        <v/>
      </c>
      <c r="H474" s="14" t="str">
        <f t="shared" si="19"/>
        <v/>
      </c>
    </row>
    <row r="475" spans="7:8" x14ac:dyDescent="0.25">
      <c r="G475" s="6" t="str">
        <f t="shared" si="18"/>
        <v/>
      </c>
      <c r="H475" s="14" t="str">
        <f t="shared" si="19"/>
        <v/>
      </c>
    </row>
    <row r="476" spans="7:8" x14ac:dyDescent="0.25">
      <c r="G476" s="6" t="str">
        <f t="shared" si="18"/>
        <v/>
      </c>
      <c r="H476" s="14" t="str">
        <f t="shared" si="19"/>
        <v/>
      </c>
    </row>
    <row r="477" spans="7:8" x14ac:dyDescent="0.25">
      <c r="G477" s="6" t="str">
        <f t="shared" si="18"/>
        <v/>
      </c>
      <c r="H477" s="14" t="str">
        <f t="shared" si="19"/>
        <v/>
      </c>
    </row>
    <row r="478" spans="7:8" x14ac:dyDescent="0.25">
      <c r="G478" s="6" t="str">
        <f t="shared" si="18"/>
        <v/>
      </c>
      <c r="H478" s="14" t="str">
        <f t="shared" si="19"/>
        <v/>
      </c>
    </row>
    <row r="479" spans="7:8" x14ac:dyDescent="0.25">
      <c r="G479" s="6" t="str">
        <f t="shared" si="18"/>
        <v/>
      </c>
      <c r="H479" s="14" t="str">
        <f t="shared" si="19"/>
        <v/>
      </c>
    </row>
    <row r="480" spans="7:8" x14ac:dyDescent="0.25">
      <c r="G480" s="6" t="str">
        <f t="shared" si="18"/>
        <v/>
      </c>
      <c r="H480" s="14" t="str">
        <f t="shared" si="19"/>
        <v/>
      </c>
    </row>
    <row r="481" spans="7:8" x14ac:dyDescent="0.25">
      <c r="G481" s="6" t="str">
        <f t="shared" si="18"/>
        <v/>
      </c>
      <c r="H481" s="14" t="str">
        <f t="shared" si="19"/>
        <v/>
      </c>
    </row>
    <row r="482" spans="7:8" x14ac:dyDescent="0.25">
      <c r="G482" s="6" t="str">
        <f t="shared" si="18"/>
        <v/>
      </c>
      <c r="H482" s="14" t="str">
        <f t="shared" si="19"/>
        <v/>
      </c>
    </row>
    <row r="483" spans="7:8" x14ac:dyDescent="0.25">
      <c r="G483" s="6" t="str">
        <f t="shared" si="18"/>
        <v/>
      </c>
      <c r="H483" s="14" t="str">
        <f t="shared" si="19"/>
        <v/>
      </c>
    </row>
    <row r="484" spans="7:8" x14ac:dyDescent="0.25">
      <c r="G484" s="6" t="str">
        <f t="shared" si="18"/>
        <v/>
      </c>
      <c r="H484" s="14" t="str">
        <f t="shared" si="19"/>
        <v/>
      </c>
    </row>
    <row r="485" spans="7:8" x14ac:dyDescent="0.25">
      <c r="G485" s="6" t="str">
        <f t="shared" si="18"/>
        <v/>
      </c>
      <c r="H485" s="14" t="str">
        <f t="shared" si="19"/>
        <v/>
      </c>
    </row>
    <row r="486" spans="7:8" x14ac:dyDescent="0.25">
      <c r="G486" s="6" t="str">
        <f t="shared" si="18"/>
        <v/>
      </c>
      <c r="H486" s="14" t="str">
        <f t="shared" si="19"/>
        <v/>
      </c>
    </row>
    <row r="487" spans="7:8" x14ac:dyDescent="0.25">
      <c r="G487" s="6" t="str">
        <f t="shared" si="18"/>
        <v/>
      </c>
      <c r="H487" s="14" t="str">
        <f t="shared" si="19"/>
        <v/>
      </c>
    </row>
    <row r="488" spans="7:8" x14ac:dyDescent="0.25">
      <c r="G488" s="6" t="str">
        <f t="shared" si="18"/>
        <v/>
      </c>
      <c r="H488" s="14" t="str">
        <f t="shared" si="19"/>
        <v/>
      </c>
    </row>
    <row r="489" spans="7:8" x14ac:dyDescent="0.25">
      <c r="G489" s="6" t="str">
        <f t="shared" si="18"/>
        <v/>
      </c>
      <c r="H489" s="14" t="str">
        <f t="shared" si="19"/>
        <v/>
      </c>
    </row>
    <row r="490" spans="7:8" x14ac:dyDescent="0.25">
      <c r="G490" s="6" t="str">
        <f t="shared" si="18"/>
        <v/>
      </c>
      <c r="H490" s="14" t="str">
        <f t="shared" si="19"/>
        <v/>
      </c>
    </row>
    <row r="491" spans="7:8" x14ac:dyDescent="0.25">
      <c r="G491" s="6" t="str">
        <f t="shared" si="18"/>
        <v/>
      </c>
      <c r="H491" s="14" t="str">
        <f t="shared" si="19"/>
        <v/>
      </c>
    </row>
    <row r="492" spans="7:8" x14ac:dyDescent="0.25">
      <c r="G492" s="6" t="str">
        <f t="shared" si="18"/>
        <v/>
      </c>
      <c r="H492" s="14" t="str">
        <f t="shared" si="19"/>
        <v/>
      </c>
    </row>
    <row r="493" spans="7:8" x14ac:dyDescent="0.25">
      <c r="G493" s="6" t="str">
        <f t="shared" si="18"/>
        <v/>
      </c>
      <c r="H493" s="14" t="str">
        <f t="shared" si="19"/>
        <v/>
      </c>
    </row>
    <row r="494" spans="7:8" x14ac:dyDescent="0.25">
      <c r="G494" s="6" t="str">
        <f t="shared" si="18"/>
        <v/>
      </c>
      <c r="H494" s="14" t="str">
        <f t="shared" si="19"/>
        <v/>
      </c>
    </row>
    <row r="495" spans="7:8" x14ac:dyDescent="0.25">
      <c r="G495" s="6" t="str">
        <f t="shared" si="18"/>
        <v/>
      </c>
      <c r="H495" s="14" t="str">
        <f t="shared" si="19"/>
        <v/>
      </c>
    </row>
    <row r="496" spans="7:8" x14ac:dyDescent="0.25">
      <c r="G496" s="6" t="str">
        <f t="shared" si="18"/>
        <v/>
      </c>
      <c r="H496" s="14" t="str">
        <f t="shared" si="19"/>
        <v/>
      </c>
    </row>
    <row r="497" spans="7:8" x14ac:dyDescent="0.25">
      <c r="G497" s="6" t="str">
        <f t="shared" si="18"/>
        <v/>
      </c>
      <c r="H497" s="14" t="str">
        <f t="shared" si="19"/>
        <v/>
      </c>
    </row>
    <row r="498" spans="7:8" x14ac:dyDescent="0.25">
      <c r="G498" s="6" t="str">
        <f t="shared" si="18"/>
        <v/>
      </c>
      <c r="H498" s="14" t="str">
        <f t="shared" si="19"/>
        <v/>
      </c>
    </row>
    <row r="1048071" spans="2:2" x14ac:dyDescent="0.25">
      <c r="B1048071" s="4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Janice Yan</cp:lastModifiedBy>
  <dcterms:created xsi:type="dcterms:W3CDTF">2022-01-01T18:18:15Z</dcterms:created>
  <dcterms:modified xsi:type="dcterms:W3CDTF">2023-02-13T17:24:40Z</dcterms:modified>
</cp:coreProperties>
</file>