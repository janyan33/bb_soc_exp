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females\data\raw\"/>
    </mc:Choice>
  </mc:AlternateContent>
  <xr:revisionPtr revIDLastSave="0" documentId="13_ncr:1_{0EE138D8-841F-4A6F-9E7D-16E1FEB36E4E}" xr6:coauthVersionLast="47" xr6:coauthVersionMax="47" xr10:uidLastSave="{00000000-0000-0000-0000-000000000000}"/>
  <bookViews>
    <workbookView xWindow="28680" yWindow="-120" windowWidth="29040" windowHeight="15720" xr2:uid="{D79A3F70-BFC8-4B9F-88DD-F2FD3547E41D}"/>
  </bookViews>
  <sheets>
    <sheet name="rep_5" sheetId="1" r:id="rId1"/>
  </sheets>
  <definedNames>
    <definedName name="_xlnm._FilterDatabase" localSheetId="0" hidden="1">rep_5!$B$1:$J$1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I3" i="1" s="1"/>
  <c r="G4" i="1"/>
  <c r="I4" i="1" s="1"/>
  <c r="G5" i="1"/>
  <c r="I5" i="1" s="1"/>
  <c r="H6" i="1"/>
  <c r="I6" i="1" s="1"/>
  <c r="I7" i="1"/>
  <c r="G8" i="1"/>
  <c r="I8" i="1" s="1"/>
  <c r="G9" i="1"/>
  <c r="I9" i="1" s="1"/>
  <c r="G10" i="1"/>
  <c r="I10" i="1" s="1"/>
  <c r="H11" i="1"/>
  <c r="I11" i="1" s="1"/>
  <c r="G12" i="1"/>
  <c r="I12" i="1" s="1"/>
  <c r="G13" i="1"/>
  <c r="I13" i="1" s="1"/>
  <c r="H14" i="1"/>
  <c r="I14" i="1" s="1"/>
  <c r="G15" i="1"/>
  <c r="I15" i="1" s="1"/>
  <c r="H16" i="1"/>
  <c r="I16" i="1" s="1"/>
  <c r="G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G23" i="1"/>
  <c r="I23" i="1" s="1"/>
  <c r="G24" i="1"/>
  <c r="I24" i="1" s="1"/>
  <c r="H25" i="1"/>
  <c r="I25" i="1" s="1"/>
  <c r="I26" i="1"/>
  <c r="G27" i="1"/>
  <c r="I27" i="1" s="1"/>
  <c r="H28" i="1"/>
  <c r="I28" i="1" s="1"/>
  <c r="I29" i="1"/>
  <c r="G30" i="1"/>
  <c r="I30" i="1" s="1"/>
  <c r="G31" i="1"/>
  <c r="I31" i="1" s="1"/>
  <c r="I32" i="1"/>
  <c r="G33" i="1"/>
  <c r="I33" i="1" s="1"/>
  <c r="G34" i="1"/>
  <c r="I34" i="1" s="1"/>
  <c r="G35" i="1"/>
  <c r="I35" i="1" s="1"/>
  <c r="G36" i="1"/>
  <c r="I36" i="1" s="1"/>
  <c r="G37" i="1"/>
  <c r="I37" i="1" s="1"/>
  <c r="H38" i="1"/>
  <c r="I38" i="1" s="1"/>
  <c r="G39" i="1"/>
  <c r="I39" i="1" s="1"/>
  <c r="G40" i="1"/>
  <c r="I40" i="1" s="1"/>
  <c r="G41" i="1"/>
  <c r="I41" i="1" s="1"/>
  <c r="G42" i="1"/>
  <c r="I42" i="1" s="1"/>
  <c r="G43" i="1"/>
  <c r="I43" i="1" s="1"/>
  <c r="H44" i="1"/>
  <c r="I44" i="1" s="1"/>
  <c r="G45" i="1"/>
  <c r="I45" i="1" s="1"/>
  <c r="G46" i="1"/>
  <c r="I46" i="1" s="1"/>
  <c r="G47" i="1"/>
  <c r="I47" i="1" s="1"/>
  <c r="G48" i="1"/>
  <c r="I48" i="1" s="1"/>
  <c r="H49" i="1"/>
  <c r="I49" i="1" s="1"/>
  <c r="I50" i="1"/>
  <c r="G51" i="1"/>
  <c r="I51" i="1" s="1"/>
  <c r="G52" i="1"/>
  <c r="I52" i="1" s="1"/>
  <c r="I53" i="1"/>
  <c r="I54" i="1"/>
  <c r="H55" i="1"/>
  <c r="I55" i="1" s="1"/>
  <c r="G56" i="1"/>
  <c r="I56" i="1" s="1"/>
  <c r="H57" i="1"/>
  <c r="I57" i="1" s="1"/>
  <c r="I58" i="1"/>
  <c r="H59" i="1"/>
  <c r="I59" i="1" s="1"/>
  <c r="I60" i="1"/>
  <c r="H61" i="1"/>
  <c r="I61" i="1" s="1"/>
  <c r="G62" i="1"/>
  <c r="I62" i="1" s="1"/>
  <c r="G63" i="1"/>
  <c r="I63" i="1" s="1"/>
  <c r="G64" i="1"/>
  <c r="I64" i="1" s="1"/>
  <c r="G65" i="1"/>
  <c r="I65" i="1" s="1"/>
  <c r="G66" i="1"/>
  <c r="I66" i="1" s="1"/>
  <c r="I67" i="1"/>
  <c r="H68" i="1"/>
  <c r="I68" i="1" s="1"/>
  <c r="I69" i="1"/>
  <c r="G70" i="1"/>
  <c r="I70" i="1" s="1"/>
  <c r="I71" i="1"/>
  <c r="I72" i="1"/>
  <c r="H73" i="1"/>
  <c r="I73" i="1" s="1"/>
  <c r="G74" i="1"/>
  <c r="I74" i="1" s="1"/>
  <c r="I75" i="1"/>
  <c r="H76" i="1"/>
  <c r="I76" i="1" s="1"/>
  <c r="G77" i="1"/>
  <c r="I77" i="1" s="1"/>
  <c r="I78" i="1"/>
  <c r="H79" i="1"/>
  <c r="I79" i="1" s="1"/>
  <c r="H80" i="1"/>
  <c r="I80" i="1" s="1"/>
  <c r="H81" i="1"/>
  <c r="I81" i="1" s="1"/>
  <c r="H82" i="1"/>
  <c r="I82" i="1" s="1"/>
  <c r="G83" i="1"/>
  <c r="I83" i="1" s="1"/>
  <c r="H84" i="1"/>
  <c r="I84" i="1" s="1"/>
  <c r="G85" i="1"/>
  <c r="I85" i="1" s="1"/>
  <c r="H86" i="1"/>
  <c r="I86" i="1" s="1"/>
  <c r="G87" i="1"/>
  <c r="I87" i="1" s="1"/>
  <c r="G88" i="1"/>
  <c r="I88" i="1" s="1"/>
  <c r="I89" i="1"/>
  <c r="G90" i="1"/>
  <c r="I90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2" i="1"/>
  <c r="H2" i="1" s="1"/>
</calcChain>
</file>

<file path=xl/sharedStrings.xml><?xml version="1.0" encoding="utf-8"?>
<sst xmlns="http://schemas.openxmlformats.org/spreadsheetml/2006/main" count="384" uniqueCount="35">
  <si>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</si>
  <si>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</si>
  <si>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</si>
  <si>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</si>
  <si>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</si>
  <si>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</si>
  <si>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</si>
  <si>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</si>
  <si>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</si>
  <si>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</si>
  <si>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trial start</t>
  </si>
  <si>
    <t>,5</t>
  </si>
  <si>
    <t>9,</t>
  </si>
  <si>
    <t>6,</t>
  </si>
  <si>
    <t>y</t>
  </si>
  <si>
    <t>n</t>
  </si>
  <si>
    <t>NA</t>
  </si>
  <si>
    <t>,3</t>
  </si>
  <si>
    <t>0,</t>
  </si>
  <si>
    <t>,2</t>
  </si>
  <si>
    <t>8,</t>
  </si>
  <si>
    <t>,7</t>
  </si>
  <si>
    <t>,0</t>
  </si>
  <si>
    <t>check footage to see if this was a mount</t>
  </si>
  <si>
    <t>,8</t>
  </si>
  <si>
    <t>1,</t>
  </si>
  <si>
    <t>2,</t>
  </si>
  <si>
    <t>,1</t>
  </si>
  <si>
    <t>90% sure female is 6,</t>
  </si>
  <si>
    <t>,6</t>
  </si>
  <si>
    <t>Lazy mount ran directly at her in the 3 instances</t>
  </si>
  <si>
    <t>4,</t>
  </si>
  <si>
    <t>5,</t>
  </si>
  <si>
    <t>female pressed against wall</t>
  </si>
  <si>
    <t>Not sure if met time requirments may be male abort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</si>
</sst>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/>
    </xf>
    <xf numFmtId="19" fontId="0" fillId="3" borderId="1" xfId="0" applyNumberFormat="1" applyFill="1" applyBorder="1" applyAlignment="1">
      <alignment horizontal="center"/>
    </xf>
    <xf numFmtId="19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3"/>
  <sheetViews>
    <sheetView tabSelected="1" zoomScaleNormal="100" workbookViewId="0">
      <pane ySplit="1" topLeftCell="A68" activePane="bottomLeft" state="frozen"/>
      <selection pane="bottomLeft" activeCell="F96" sqref="F96"/>
    </sheetView>
  </sheetViews>
  <sheetFormatPr defaultRowHeight="15" x14ac:dyDescent="0.25"/>
  <cols>
    <col min="1" max="1" width="11.285156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6" customWidth="1"/>
    <col min="9" max="9" width="22.7109375" style="6" customWidth="1"/>
    <col min="10" max="10" width="51.28515625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5" t="s">
        <v>7</v>
      </c>
      <c r="I1" s="3" t="s">
        <v>0</v>
      </c>
      <c r="J1" s="17" t="s">
        <v>9</v>
      </c>
    </row>
    <row r="2" spans="1:14" x14ac:dyDescent="0.25">
      <c r="A2">
        <v>1</v>
      </c>
      <c r="B2" s="4">
        <v>0.33475694444444443</v>
      </c>
      <c r="C2" s="4"/>
      <c r="G2" s="6" t="str">
        <f>IF(F2 = "n", "NA", "")</f>
        <v/>
      </c>
      <c r="H2" s="16" t="str">
        <f>IF(G2 = "y", "NA", "")</f>
        <v/>
      </c>
      <c r="I2" s="6" t="s">
        <v>10</v>
      </c>
    </row>
    <row r="3" spans="1:14" x14ac:dyDescent="0.25">
      <c r="A3">
        <v>1</v>
      </c>
      <c r="B3" s="4">
        <v>0.33491898148148147</v>
      </c>
      <c r="C3" s="4"/>
      <c r="D3" s="5" t="s">
        <v>11</v>
      </c>
      <c r="E3" s="5" t="s">
        <v>12</v>
      </c>
      <c r="F3" s="6" t="s">
        <v>14</v>
      </c>
      <c r="G3" s="6" t="s">
        <v>14</v>
      </c>
      <c r="H3" s="16" t="str">
        <f t="shared" ref="H3:H61" si="0">IF(G3 = "y", "NA", "")</f>
        <v>NA</v>
      </c>
      <c r="I3" s="6" t="str">
        <f t="shared" ref="I3:I66" si="1">IF(H3="n", "insemination", "mount")</f>
        <v>mount</v>
      </c>
    </row>
    <row r="4" spans="1:14" x14ac:dyDescent="0.25">
      <c r="A4">
        <v>1</v>
      </c>
      <c r="B4" s="4">
        <v>0.33509259259259255</v>
      </c>
      <c r="C4" s="4">
        <v>0.3357175925925926</v>
      </c>
      <c r="D4" s="5" t="s">
        <v>11</v>
      </c>
      <c r="E4" s="5" t="s">
        <v>13</v>
      </c>
      <c r="F4" s="6" t="s">
        <v>15</v>
      </c>
      <c r="G4" s="6" t="str">
        <f t="shared" ref="G4:G66" si="2">IF(F4 = "n", "NA", "")</f>
        <v>NA</v>
      </c>
      <c r="H4" s="16" t="s">
        <v>15</v>
      </c>
      <c r="I4" s="6" t="str">
        <f t="shared" si="1"/>
        <v>insemination</v>
      </c>
    </row>
    <row r="5" spans="1:14" x14ac:dyDescent="0.25">
      <c r="A5">
        <v>1</v>
      </c>
      <c r="B5" s="4">
        <v>0.33574074074074073</v>
      </c>
      <c r="C5" s="4">
        <v>0.33609953703703704</v>
      </c>
      <c r="D5" s="5" t="s">
        <v>17</v>
      </c>
      <c r="E5" s="5" t="s">
        <v>18</v>
      </c>
      <c r="F5" s="6" t="s">
        <v>15</v>
      </c>
      <c r="G5" s="6" t="str">
        <f t="shared" si="2"/>
        <v>NA</v>
      </c>
      <c r="H5" s="16" t="s">
        <v>15</v>
      </c>
      <c r="I5" s="6" t="str">
        <f t="shared" si="1"/>
        <v>insemination</v>
      </c>
    </row>
    <row r="6" spans="1:14" x14ac:dyDescent="0.25">
      <c r="A6">
        <v>1</v>
      </c>
      <c r="B6" s="4">
        <v>0.33886574074074072</v>
      </c>
      <c r="C6" s="4"/>
      <c r="D6" s="5" t="s">
        <v>19</v>
      </c>
      <c r="E6" s="5" t="s">
        <v>20</v>
      </c>
      <c r="F6" s="6" t="s">
        <v>14</v>
      </c>
      <c r="G6" s="6" t="s">
        <v>14</v>
      </c>
      <c r="H6" s="16" t="str">
        <f t="shared" si="0"/>
        <v>NA</v>
      </c>
      <c r="I6" s="6" t="str">
        <f t="shared" si="1"/>
        <v>mount</v>
      </c>
    </row>
    <row r="7" spans="1:14" x14ac:dyDescent="0.25">
      <c r="A7" s="14"/>
      <c r="B7" s="4">
        <v>0.33927083333333335</v>
      </c>
      <c r="C7" s="4">
        <v>0.33981481481481479</v>
      </c>
      <c r="D7" s="5" t="s">
        <v>19</v>
      </c>
      <c r="E7" s="5" t="s">
        <v>20</v>
      </c>
      <c r="F7" s="6" t="s">
        <v>14</v>
      </c>
      <c r="G7" s="6" t="s">
        <v>15</v>
      </c>
      <c r="H7" s="16" t="s">
        <v>15</v>
      </c>
      <c r="I7" s="6" t="str">
        <f t="shared" si="1"/>
        <v>insemination</v>
      </c>
    </row>
    <row r="8" spans="1:14" x14ac:dyDescent="0.25">
      <c r="A8">
        <v>1</v>
      </c>
      <c r="B8" s="4">
        <v>0.34019675925925924</v>
      </c>
      <c r="C8" s="4">
        <v>0.34075231481481483</v>
      </c>
      <c r="D8" s="5" t="s">
        <v>11</v>
      </c>
      <c r="E8" s="5" t="s">
        <v>12</v>
      </c>
      <c r="F8" s="6" t="s">
        <v>15</v>
      </c>
      <c r="G8" s="6" t="str">
        <f t="shared" si="2"/>
        <v>NA</v>
      </c>
      <c r="H8" s="16" t="s">
        <v>15</v>
      </c>
      <c r="I8" s="6" t="str">
        <f t="shared" si="1"/>
        <v>insemination</v>
      </c>
    </row>
    <row r="9" spans="1:14" x14ac:dyDescent="0.25">
      <c r="A9">
        <v>1</v>
      </c>
      <c r="B9" s="4">
        <v>0.34046296296296297</v>
      </c>
      <c r="C9" s="4">
        <v>0.34089120370370374</v>
      </c>
      <c r="D9" s="5" t="s">
        <v>21</v>
      </c>
      <c r="E9" s="5" t="s">
        <v>18</v>
      </c>
      <c r="F9" s="6" t="s">
        <v>15</v>
      </c>
      <c r="G9" s="6" t="str">
        <f t="shared" si="2"/>
        <v>NA</v>
      </c>
      <c r="H9" s="16" t="s">
        <v>15</v>
      </c>
      <c r="I9" s="6" t="str">
        <f t="shared" si="1"/>
        <v>insemination</v>
      </c>
      <c r="L9" s="13"/>
      <c r="M9" s="11"/>
      <c r="N9" s="11"/>
    </row>
    <row r="10" spans="1:14" x14ac:dyDescent="0.25">
      <c r="A10">
        <v>1</v>
      </c>
      <c r="B10" s="4">
        <v>0.3406481481481482</v>
      </c>
      <c r="C10" s="4">
        <v>0.34118055555555554</v>
      </c>
      <c r="D10" s="5" t="s">
        <v>22</v>
      </c>
      <c r="E10" s="5" t="s">
        <v>20</v>
      </c>
      <c r="F10" s="6" t="s">
        <v>15</v>
      </c>
      <c r="G10" s="6" t="str">
        <f t="shared" si="2"/>
        <v>NA</v>
      </c>
      <c r="H10" s="16" t="s">
        <v>15</v>
      </c>
      <c r="I10" s="6" t="str">
        <f t="shared" si="1"/>
        <v>insemination</v>
      </c>
      <c r="L10" s="10"/>
    </row>
    <row r="11" spans="1:14" x14ac:dyDescent="0.25">
      <c r="A11">
        <v>1</v>
      </c>
      <c r="B11" s="4">
        <v>0.34297453703703701</v>
      </c>
      <c r="D11" s="5" t="s">
        <v>17</v>
      </c>
      <c r="E11" s="5" t="s">
        <v>18</v>
      </c>
      <c r="F11" s="6" t="s">
        <v>14</v>
      </c>
      <c r="G11" s="6" t="s">
        <v>14</v>
      </c>
      <c r="H11" s="16" t="str">
        <f t="shared" si="0"/>
        <v>NA</v>
      </c>
      <c r="I11" s="6" t="str">
        <f t="shared" si="1"/>
        <v>mount</v>
      </c>
      <c r="J11" t="s">
        <v>23</v>
      </c>
      <c r="L11" s="10"/>
    </row>
    <row r="12" spans="1:14" x14ac:dyDescent="0.25">
      <c r="A12">
        <v>1</v>
      </c>
      <c r="B12" s="4">
        <v>0.34501157407407407</v>
      </c>
      <c r="C12" s="4"/>
      <c r="D12" s="5" t="s">
        <v>24</v>
      </c>
      <c r="E12" s="5" t="s">
        <v>25</v>
      </c>
      <c r="F12" s="6" t="s">
        <v>15</v>
      </c>
      <c r="G12" s="6" t="str">
        <f t="shared" si="2"/>
        <v>NA</v>
      </c>
      <c r="H12" s="16" t="s">
        <v>15</v>
      </c>
      <c r="I12" s="6" t="str">
        <f t="shared" si="1"/>
        <v>insemination</v>
      </c>
      <c r="J12" s="18"/>
      <c r="L12" s="10"/>
    </row>
    <row r="13" spans="1:14" x14ac:dyDescent="0.25">
      <c r="A13">
        <v>1</v>
      </c>
      <c r="B13" s="4">
        <v>0.34809027777777773</v>
      </c>
      <c r="C13" s="4">
        <v>0.3484606481481482</v>
      </c>
      <c r="D13" s="5" t="s">
        <v>22</v>
      </c>
      <c r="E13" s="5" t="s">
        <v>26</v>
      </c>
      <c r="F13" s="6" t="s">
        <v>15</v>
      </c>
      <c r="G13" s="6" t="str">
        <f t="shared" si="2"/>
        <v>NA</v>
      </c>
      <c r="H13" s="16" t="s">
        <v>15</v>
      </c>
      <c r="I13" s="6" t="str">
        <f t="shared" si="1"/>
        <v>insemination</v>
      </c>
      <c r="L13" s="10"/>
    </row>
    <row r="14" spans="1:14" x14ac:dyDescent="0.25">
      <c r="A14">
        <v>1</v>
      </c>
      <c r="B14" s="4">
        <v>0.35099537037037037</v>
      </c>
      <c r="C14" s="4"/>
      <c r="D14" s="5" t="s">
        <v>27</v>
      </c>
      <c r="E14" s="5" t="s">
        <v>13</v>
      </c>
      <c r="F14" s="6" t="s">
        <v>14</v>
      </c>
      <c r="G14" s="6" t="s">
        <v>14</v>
      </c>
      <c r="H14" s="16" t="str">
        <f t="shared" si="0"/>
        <v>NA</v>
      </c>
      <c r="I14" s="6" t="str">
        <f t="shared" si="1"/>
        <v>mount</v>
      </c>
      <c r="J14" s="19" t="s">
        <v>28</v>
      </c>
      <c r="L14" s="10"/>
    </row>
    <row r="15" spans="1:14" x14ac:dyDescent="0.25">
      <c r="A15">
        <v>1</v>
      </c>
      <c r="B15" s="4">
        <v>0.35275462962962961</v>
      </c>
      <c r="D15" s="5" t="s">
        <v>22</v>
      </c>
      <c r="E15" s="5" t="s">
        <v>26</v>
      </c>
      <c r="F15" s="6" t="s">
        <v>15</v>
      </c>
      <c r="G15" s="6" t="str">
        <f t="shared" si="2"/>
        <v>NA</v>
      </c>
      <c r="H15" s="16" t="s">
        <v>14</v>
      </c>
      <c r="I15" s="6" t="str">
        <f t="shared" si="1"/>
        <v>mount</v>
      </c>
      <c r="J15" s="18"/>
      <c r="L15" s="10"/>
    </row>
    <row r="16" spans="1:14" x14ac:dyDescent="0.25">
      <c r="A16">
        <v>1</v>
      </c>
      <c r="B16" s="4">
        <v>0.36280092592592594</v>
      </c>
      <c r="D16" s="5" t="s">
        <v>27</v>
      </c>
      <c r="E16" s="5" t="s">
        <v>12</v>
      </c>
      <c r="F16" s="6" t="s">
        <v>14</v>
      </c>
      <c r="G16" s="6" t="s">
        <v>14</v>
      </c>
      <c r="H16" s="16" t="str">
        <f t="shared" si="0"/>
        <v>NA</v>
      </c>
      <c r="I16" s="6" t="str">
        <f t="shared" si="1"/>
        <v>mount</v>
      </c>
      <c r="L16" s="12"/>
    </row>
    <row r="17" spans="1:12" x14ac:dyDescent="0.25">
      <c r="A17">
        <v>1</v>
      </c>
      <c r="B17" s="4">
        <v>0.3633912037037037</v>
      </c>
      <c r="C17" s="4">
        <v>0.36381944444444447</v>
      </c>
      <c r="D17" s="5" t="s">
        <v>29</v>
      </c>
      <c r="E17" s="5" t="s">
        <v>18</v>
      </c>
      <c r="F17" s="6" t="s">
        <v>15</v>
      </c>
      <c r="G17" s="6" t="str">
        <f t="shared" si="2"/>
        <v>NA</v>
      </c>
      <c r="H17" s="16" t="s">
        <v>15</v>
      </c>
      <c r="I17" s="6" t="str">
        <f t="shared" si="1"/>
        <v>insemination</v>
      </c>
      <c r="L17" s="12"/>
    </row>
    <row r="18" spans="1:12" x14ac:dyDescent="0.25">
      <c r="A18">
        <v>1</v>
      </c>
      <c r="B18" s="4">
        <v>0.37793981481481481</v>
      </c>
      <c r="C18" s="4"/>
      <c r="D18" s="5" t="s">
        <v>27</v>
      </c>
      <c r="E18" s="5" t="s">
        <v>13</v>
      </c>
      <c r="F18" s="6" t="s">
        <v>14</v>
      </c>
      <c r="G18" s="6" t="s">
        <v>14</v>
      </c>
      <c r="H18" s="16" t="str">
        <f t="shared" si="0"/>
        <v>NA</v>
      </c>
      <c r="I18" s="6" t="str">
        <f t="shared" si="1"/>
        <v>mount</v>
      </c>
    </row>
    <row r="19" spans="1:12" x14ac:dyDescent="0.25">
      <c r="A19">
        <v>1</v>
      </c>
      <c r="B19" s="4">
        <v>0.3831134259259259</v>
      </c>
      <c r="D19" s="5" t="s">
        <v>24</v>
      </c>
      <c r="E19" s="5" t="s">
        <v>13</v>
      </c>
      <c r="F19" s="6" t="s">
        <v>14</v>
      </c>
      <c r="G19" s="6" t="s">
        <v>14</v>
      </c>
      <c r="H19" s="16" t="str">
        <f t="shared" si="0"/>
        <v>NA</v>
      </c>
      <c r="I19" s="6" t="str">
        <f t="shared" si="1"/>
        <v>mount</v>
      </c>
    </row>
    <row r="20" spans="1:12" x14ac:dyDescent="0.25">
      <c r="A20">
        <v>1</v>
      </c>
      <c r="B20" s="4">
        <v>0.42326388888888888</v>
      </c>
      <c r="C20" s="4"/>
      <c r="D20" s="5" t="s">
        <v>19</v>
      </c>
      <c r="E20" s="5" t="s">
        <v>12</v>
      </c>
      <c r="F20" s="6" t="s">
        <v>14</v>
      </c>
      <c r="G20" s="6" t="s">
        <v>14</v>
      </c>
      <c r="H20" s="16" t="str">
        <f t="shared" si="0"/>
        <v>NA</v>
      </c>
      <c r="I20" s="6" t="str">
        <f t="shared" si="1"/>
        <v>mount</v>
      </c>
    </row>
    <row r="21" spans="1:12" x14ac:dyDescent="0.25">
      <c r="A21">
        <v>1</v>
      </c>
      <c r="B21" s="4">
        <v>0.42356481481481478</v>
      </c>
      <c r="D21" s="5" t="s">
        <v>19</v>
      </c>
      <c r="E21" s="5" t="s">
        <v>12</v>
      </c>
      <c r="F21" s="6" t="s">
        <v>14</v>
      </c>
      <c r="G21" s="6" t="s">
        <v>14</v>
      </c>
      <c r="H21" s="16" t="str">
        <f t="shared" si="0"/>
        <v>NA</v>
      </c>
      <c r="I21" s="6" t="str">
        <f t="shared" si="1"/>
        <v>mount</v>
      </c>
    </row>
    <row r="22" spans="1:12" x14ac:dyDescent="0.25">
      <c r="A22">
        <v>1</v>
      </c>
      <c r="B22" s="4">
        <v>0.42761574074074077</v>
      </c>
      <c r="D22" s="5" t="s">
        <v>19</v>
      </c>
      <c r="E22" s="5" t="s">
        <v>12</v>
      </c>
      <c r="F22" s="6" t="s">
        <v>14</v>
      </c>
      <c r="G22" s="6" t="s">
        <v>14</v>
      </c>
      <c r="H22" s="16" t="str">
        <f t="shared" si="0"/>
        <v>NA</v>
      </c>
      <c r="I22" s="6" t="str">
        <f t="shared" si="1"/>
        <v>mount</v>
      </c>
      <c r="J22" s="19" t="s">
        <v>30</v>
      </c>
    </row>
    <row r="23" spans="1:12" x14ac:dyDescent="0.25">
      <c r="A23">
        <v>1</v>
      </c>
      <c r="B23" s="4">
        <v>0.43429398148148146</v>
      </c>
      <c r="C23" s="4">
        <v>0.43445601851851851</v>
      </c>
      <c r="D23" s="5" t="s">
        <v>19</v>
      </c>
      <c r="E23" s="5" t="s">
        <v>12</v>
      </c>
      <c r="F23" s="6" t="s">
        <v>15</v>
      </c>
      <c r="G23" s="6" t="str">
        <f t="shared" si="2"/>
        <v>NA</v>
      </c>
      <c r="H23" s="16" t="s">
        <v>14</v>
      </c>
      <c r="I23" s="6" t="str">
        <f t="shared" si="1"/>
        <v>mount</v>
      </c>
      <c r="J23" s="18"/>
    </row>
    <row r="24" spans="1:12" x14ac:dyDescent="0.25">
      <c r="A24">
        <v>1</v>
      </c>
      <c r="B24" s="4">
        <v>0.43687499999999996</v>
      </c>
      <c r="C24" s="4">
        <v>0.43706018518518519</v>
      </c>
      <c r="D24" s="5" t="s">
        <v>29</v>
      </c>
      <c r="E24" s="5" t="s">
        <v>12</v>
      </c>
      <c r="F24" s="6" t="s">
        <v>15</v>
      </c>
      <c r="G24" s="6" t="str">
        <f t="shared" si="2"/>
        <v>NA</v>
      </c>
      <c r="H24" s="16" t="s">
        <v>14</v>
      </c>
      <c r="I24" s="6" t="str">
        <f t="shared" si="1"/>
        <v>mount</v>
      </c>
    </row>
    <row r="25" spans="1:12" x14ac:dyDescent="0.25">
      <c r="A25">
        <v>1</v>
      </c>
      <c r="B25" s="4">
        <v>0.45239583333333333</v>
      </c>
      <c r="D25" s="5" t="s">
        <v>27</v>
      </c>
      <c r="E25" s="5" t="s">
        <v>31</v>
      </c>
      <c r="F25" s="6" t="s">
        <v>14</v>
      </c>
      <c r="G25" s="6" t="s">
        <v>14</v>
      </c>
      <c r="H25" s="16" t="str">
        <f t="shared" si="0"/>
        <v>NA</v>
      </c>
      <c r="I25" s="6" t="str">
        <f t="shared" si="1"/>
        <v>mount</v>
      </c>
    </row>
    <row r="26" spans="1:12" x14ac:dyDescent="0.25">
      <c r="A26">
        <v>1</v>
      </c>
      <c r="B26" s="4">
        <v>0.4538194444444445</v>
      </c>
      <c r="C26" s="4">
        <v>0.45489583333333333</v>
      </c>
      <c r="D26" s="5" t="s">
        <v>27</v>
      </c>
      <c r="E26" s="5" t="s">
        <v>31</v>
      </c>
      <c r="F26" s="20" t="s">
        <v>15</v>
      </c>
      <c r="G26" s="6" t="s">
        <v>15</v>
      </c>
      <c r="H26" s="16" t="s">
        <v>15</v>
      </c>
      <c r="I26" s="6" t="str">
        <f t="shared" si="1"/>
        <v>insemination</v>
      </c>
    </row>
    <row r="27" spans="1:12" x14ac:dyDescent="0.25">
      <c r="A27">
        <v>1</v>
      </c>
      <c r="B27" s="4">
        <v>0.45792824074074073</v>
      </c>
      <c r="C27" s="4"/>
      <c r="D27" s="5" t="s">
        <v>29</v>
      </c>
      <c r="E27" s="5" t="s">
        <v>12</v>
      </c>
      <c r="F27" s="6" t="s">
        <v>15</v>
      </c>
      <c r="G27" s="6" t="str">
        <f t="shared" si="2"/>
        <v>NA</v>
      </c>
      <c r="H27" s="16" t="s">
        <v>14</v>
      </c>
      <c r="I27" s="6" t="str">
        <f t="shared" si="1"/>
        <v>mount</v>
      </c>
    </row>
    <row r="28" spans="1:12" x14ac:dyDescent="0.25">
      <c r="A28">
        <v>1</v>
      </c>
      <c r="B28" s="4">
        <v>0.4737615740740741</v>
      </c>
      <c r="D28" s="5" t="s">
        <v>24</v>
      </c>
      <c r="E28" s="5" t="s">
        <v>25</v>
      </c>
      <c r="F28" s="6" t="s">
        <v>14</v>
      </c>
      <c r="G28" s="6" t="s">
        <v>14</v>
      </c>
      <c r="H28" s="16" t="str">
        <f t="shared" si="0"/>
        <v>NA</v>
      </c>
      <c r="I28" s="6" t="str">
        <f t="shared" si="1"/>
        <v>mount</v>
      </c>
      <c r="J28" s="18"/>
    </row>
    <row r="29" spans="1:12" x14ac:dyDescent="0.25">
      <c r="A29">
        <v>1</v>
      </c>
      <c r="B29" s="4">
        <v>0.49209490740740741</v>
      </c>
      <c r="C29" s="4">
        <v>0.49237268518518523</v>
      </c>
      <c r="D29" s="5" t="s">
        <v>19</v>
      </c>
      <c r="E29" s="5" t="s">
        <v>26</v>
      </c>
      <c r="F29" s="6" t="s">
        <v>14</v>
      </c>
      <c r="G29" s="6" t="s">
        <v>15</v>
      </c>
      <c r="H29" s="16" t="s">
        <v>14</v>
      </c>
      <c r="I29" s="6" t="str">
        <f t="shared" si="1"/>
        <v>mount</v>
      </c>
      <c r="J29" s="18"/>
    </row>
    <row r="30" spans="1:12" x14ac:dyDescent="0.25">
      <c r="A30">
        <v>1</v>
      </c>
      <c r="B30" s="4">
        <v>0.4971180555555556</v>
      </c>
      <c r="D30" s="5" t="s">
        <v>29</v>
      </c>
      <c r="E30" s="5" t="s">
        <v>26</v>
      </c>
      <c r="F30" s="6" t="s">
        <v>15</v>
      </c>
      <c r="G30" s="6" t="str">
        <f t="shared" si="2"/>
        <v>NA</v>
      </c>
      <c r="H30" s="16" t="s">
        <v>14</v>
      </c>
      <c r="I30" s="6" t="str">
        <f t="shared" si="1"/>
        <v>mount</v>
      </c>
    </row>
    <row r="31" spans="1:12" x14ac:dyDescent="0.25">
      <c r="A31">
        <v>1</v>
      </c>
      <c r="B31" s="4">
        <v>0.50377314814814811</v>
      </c>
      <c r="D31" s="5" t="s">
        <v>27</v>
      </c>
      <c r="E31" s="5" t="s">
        <v>12</v>
      </c>
      <c r="F31" s="6" t="s">
        <v>15</v>
      </c>
      <c r="G31" s="6" t="str">
        <f t="shared" si="2"/>
        <v>NA</v>
      </c>
      <c r="H31" s="16" t="s">
        <v>14</v>
      </c>
      <c r="I31" s="6" t="str">
        <f t="shared" si="1"/>
        <v>mount</v>
      </c>
    </row>
    <row r="32" spans="1:12" x14ac:dyDescent="0.25">
      <c r="A32">
        <v>1</v>
      </c>
      <c r="B32" s="4">
        <v>0.52364583333333337</v>
      </c>
      <c r="C32" s="4">
        <v>0.52440972222222226</v>
      </c>
      <c r="D32" s="5" t="s">
        <v>22</v>
      </c>
      <c r="E32" s="5" t="s">
        <v>20</v>
      </c>
      <c r="F32" s="6" t="s">
        <v>14</v>
      </c>
      <c r="G32" s="6" t="s">
        <v>15</v>
      </c>
      <c r="H32" s="16" t="s">
        <v>15</v>
      </c>
      <c r="I32" s="6" t="str">
        <f t="shared" si="1"/>
        <v>insemination</v>
      </c>
    </row>
    <row r="33" spans="1:10" x14ac:dyDescent="0.25">
      <c r="A33">
        <v>1</v>
      </c>
      <c r="B33" s="4">
        <v>0.52722222222222226</v>
      </c>
      <c r="C33" s="4">
        <v>0.52765046296296292</v>
      </c>
      <c r="D33" s="5" t="s">
        <v>29</v>
      </c>
      <c r="E33" s="5" t="s">
        <v>26</v>
      </c>
      <c r="F33" s="6" t="s">
        <v>15</v>
      </c>
      <c r="G33" s="6" t="str">
        <f t="shared" si="2"/>
        <v>NA</v>
      </c>
      <c r="H33" s="16" t="s">
        <v>15</v>
      </c>
      <c r="I33" s="6" t="str">
        <f t="shared" si="1"/>
        <v>insemination</v>
      </c>
    </row>
    <row r="34" spans="1:10" x14ac:dyDescent="0.25">
      <c r="A34">
        <v>1</v>
      </c>
      <c r="B34" s="4">
        <v>0.52738425925925925</v>
      </c>
      <c r="D34" s="5" t="s">
        <v>22</v>
      </c>
      <c r="E34" s="5" t="s">
        <v>32</v>
      </c>
      <c r="F34" s="6" t="s">
        <v>15</v>
      </c>
      <c r="G34" s="6" t="str">
        <f t="shared" si="2"/>
        <v>NA</v>
      </c>
      <c r="H34" s="16" t="s">
        <v>14</v>
      </c>
      <c r="I34" s="6" t="str">
        <f t="shared" si="1"/>
        <v>mount</v>
      </c>
    </row>
    <row r="35" spans="1:10" x14ac:dyDescent="0.25">
      <c r="A35">
        <v>1</v>
      </c>
      <c r="B35" s="4">
        <v>0.52987268518518515</v>
      </c>
      <c r="D35" s="5" t="s">
        <v>19</v>
      </c>
      <c r="E35" s="5" t="s">
        <v>26</v>
      </c>
      <c r="F35" s="6" t="s">
        <v>15</v>
      </c>
      <c r="G35" s="6" t="str">
        <f t="shared" si="2"/>
        <v>NA</v>
      </c>
      <c r="H35" s="16" t="s">
        <v>14</v>
      </c>
      <c r="I35" s="6" t="str">
        <f t="shared" si="1"/>
        <v>mount</v>
      </c>
    </row>
    <row r="36" spans="1:10" x14ac:dyDescent="0.25">
      <c r="A36">
        <v>1</v>
      </c>
      <c r="B36" s="4">
        <v>0.53105324074074078</v>
      </c>
      <c r="D36" s="5" t="s">
        <v>19</v>
      </c>
      <c r="E36" s="5" t="s">
        <v>32</v>
      </c>
      <c r="F36" s="6" t="s">
        <v>15</v>
      </c>
      <c r="G36" s="6" t="str">
        <f t="shared" si="2"/>
        <v>NA</v>
      </c>
      <c r="H36" s="16" t="s">
        <v>14</v>
      </c>
      <c r="I36" s="6" t="str">
        <f t="shared" si="1"/>
        <v>mount</v>
      </c>
    </row>
    <row r="37" spans="1:10" x14ac:dyDescent="0.25">
      <c r="A37">
        <v>1</v>
      </c>
      <c r="B37" s="4">
        <v>0.53303240740740743</v>
      </c>
      <c r="D37" s="5" t="s">
        <v>19</v>
      </c>
      <c r="E37" s="5" t="s">
        <v>32</v>
      </c>
      <c r="F37" s="6" t="s">
        <v>15</v>
      </c>
      <c r="G37" s="6" t="str">
        <f t="shared" si="2"/>
        <v>NA</v>
      </c>
      <c r="H37" s="16" t="s">
        <v>14</v>
      </c>
      <c r="I37" s="6" t="str">
        <f t="shared" si="1"/>
        <v>mount</v>
      </c>
    </row>
    <row r="38" spans="1:10" x14ac:dyDescent="0.25">
      <c r="A38">
        <v>1</v>
      </c>
      <c r="B38" s="4">
        <v>0.53493055555555558</v>
      </c>
      <c r="D38" s="5" t="s">
        <v>29</v>
      </c>
      <c r="E38" s="5" t="s">
        <v>26</v>
      </c>
      <c r="F38" s="6" t="s">
        <v>14</v>
      </c>
      <c r="G38" s="6" t="s">
        <v>14</v>
      </c>
      <c r="H38" s="16" t="str">
        <f t="shared" si="0"/>
        <v>NA</v>
      </c>
      <c r="I38" s="6" t="str">
        <f t="shared" si="1"/>
        <v>mount</v>
      </c>
      <c r="J38" s="18"/>
    </row>
    <row r="39" spans="1:10" x14ac:dyDescent="0.25">
      <c r="A39">
        <v>1</v>
      </c>
      <c r="B39" s="4">
        <v>0.53649305555555549</v>
      </c>
      <c r="D39" s="5" t="s">
        <v>29</v>
      </c>
      <c r="E39" s="5" t="s">
        <v>12</v>
      </c>
      <c r="F39" s="6" t="s">
        <v>15</v>
      </c>
      <c r="G39" s="6" t="str">
        <f t="shared" si="2"/>
        <v>NA</v>
      </c>
      <c r="H39" s="16" t="s">
        <v>14</v>
      </c>
      <c r="I39" s="6" t="str">
        <f t="shared" si="1"/>
        <v>mount</v>
      </c>
    </row>
    <row r="40" spans="1:10" x14ac:dyDescent="0.25">
      <c r="A40">
        <v>1</v>
      </c>
      <c r="B40" s="4">
        <v>0.54143518518518519</v>
      </c>
      <c r="C40" s="4">
        <v>0.54181712962962958</v>
      </c>
      <c r="D40" s="5" t="s">
        <v>27</v>
      </c>
      <c r="E40" s="5" t="s">
        <v>32</v>
      </c>
      <c r="F40" s="6" t="s">
        <v>15</v>
      </c>
      <c r="G40" s="6" t="str">
        <f t="shared" si="2"/>
        <v>NA</v>
      </c>
      <c r="H40" s="16" t="s">
        <v>15</v>
      </c>
      <c r="I40" s="6" t="str">
        <f t="shared" si="1"/>
        <v>insemination</v>
      </c>
    </row>
    <row r="41" spans="1:10" x14ac:dyDescent="0.25">
      <c r="A41">
        <v>1</v>
      </c>
      <c r="B41" s="4">
        <v>0.54614583333333333</v>
      </c>
      <c r="D41" s="5" t="s">
        <v>17</v>
      </c>
      <c r="E41" s="5" t="s">
        <v>32</v>
      </c>
      <c r="F41" s="6" t="s">
        <v>15</v>
      </c>
      <c r="G41" s="6" t="str">
        <f t="shared" si="2"/>
        <v>NA</v>
      </c>
      <c r="H41" s="16" t="s">
        <v>14</v>
      </c>
      <c r="I41" s="6" t="str">
        <f t="shared" si="1"/>
        <v>mount</v>
      </c>
    </row>
    <row r="42" spans="1:10" x14ac:dyDescent="0.25">
      <c r="A42">
        <v>1</v>
      </c>
      <c r="B42" s="4">
        <v>0.54761574074074071</v>
      </c>
      <c r="D42" s="5" t="s">
        <v>27</v>
      </c>
      <c r="E42" s="5" t="s">
        <v>32</v>
      </c>
      <c r="F42" s="6" t="s">
        <v>15</v>
      </c>
      <c r="G42" s="6" t="str">
        <f t="shared" si="2"/>
        <v>NA</v>
      </c>
      <c r="H42" s="16" t="s">
        <v>14</v>
      </c>
      <c r="I42" s="6" t="str">
        <f t="shared" si="1"/>
        <v>mount</v>
      </c>
    </row>
    <row r="43" spans="1:10" x14ac:dyDescent="0.25">
      <c r="A43">
        <v>1</v>
      </c>
      <c r="B43" s="4">
        <v>0.54965277777777777</v>
      </c>
      <c r="C43" s="4">
        <v>0.55009259259259258</v>
      </c>
      <c r="D43" s="5" t="s">
        <v>17</v>
      </c>
      <c r="E43" s="5" t="s">
        <v>32</v>
      </c>
      <c r="F43" s="6" t="s">
        <v>15</v>
      </c>
      <c r="G43" s="6" t="str">
        <f t="shared" si="2"/>
        <v>NA</v>
      </c>
      <c r="H43" s="16" t="s">
        <v>15</v>
      </c>
      <c r="I43" s="6" t="str">
        <f t="shared" si="1"/>
        <v>insemination</v>
      </c>
    </row>
    <row r="44" spans="1:10" x14ac:dyDescent="0.25">
      <c r="A44">
        <v>1</v>
      </c>
      <c r="B44" s="4">
        <v>0.5531018518518519</v>
      </c>
      <c r="C44" s="4"/>
      <c r="D44" s="5" t="s">
        <v>11</v>
      </c>
      <c r="E44" s="5" t="s">
        <v>12</v>
      </c>
      <c r="F44" s="6" t="s">
        <v>14</v>
      </c>
      <c r="G44" s="6" t="s">
        <v>14</v>
      </c>
      <c r="H44" s="16" t="str">
        <f t="shared" si="0"/>
        <v>NA</v>
      </c>
      <c r="I44" s="6" t="str">
        <f t="shared" si="1"/>
        <v>mount</v>
      </c>
    </row>
    <row r="45" spans="1:10" x14ac:dyDescent="0.25">
      <c r="A45">
        <v>1</v>
      </c>
      <c r="B45" s="4">
        <v>0.55682870370370374</v>
      </c>
      <c r="D45" s="5" t="s">
        <v>29</v>
      </c>
      <c r="E45" s="5" t="s">
        <v>32</v>
      </c>
      <c r="F45" s="6" t="s">
        <v>15</v>
      </c>
      <c r="G45" s="6" t="str">
        <f t="shared" si="2"/>
        <v>NA</v>
      </c>
      <c r="H45" s="16" t="s">
        <v>14</v>
      </c>
      <c r="I45" s="6" t="str">
        <f t="shared" si="1"/>
        <v>mount</v>
      </c>
    </row>
    <row r="46" spans="1:10" x14ac:dyDescent="0.25">
      <c r="A46">
        <v>1</v>
      </c>
      <c r="B46" s="4">
        <v>0.55796296296296299</v>
      </c>
      <c r="D46" s="5" t="s">
        <v>21</v>
      </c>
      <c r="E46" s="5" t="s">
        <v>12</v>
      </c>
      <c r="F46" s="6" t="s">
        <v>15</v>
      </c>
      <c r="G46" s="6" t="str">
        <f t="shared" si="2"/>
        <v>NA</v>
      </c>
      <c r="H46" s="16" t="s">
        <v>14</v>
      </c>
      <c r="I46" s="6" t="str">
        <f t="shared" si="1"/>
        <v>mount</v>
      </c>
    </row>
    <row r="47" spans="1:10" x14ac:dyDescent="0.25">
      <c r="A47">
        <v>1</v>
      </c>
      <c r="B47" s="4">
        <v>0.55921296296296297</v>
      </c>
      <c r="D47" s="5" t="s">
        <v>17</v>
      </c>
      <c r="E47" s="5" t="s">
        <v>26</v>
      </c>
      <c r="F47" s="6" t="s">
        <v>15</v>
      </c>
      <c r="G47" s="6" t="str">
        <f t="shared" si="2"/>
        <v>NA</v>
      </c>
      <c r="H47" s="16" t="s">
        <v>14</v>
      </c>
      <c r="I47" s="6" t="str">
        <f t="shared" si="1"/>
        <v>mount</v>
      </c>
    </row>
    <row r="48" spans="1:10" x14ac:dyDescent="0.25">
      <c r="A48">
        <v>1</v>
      </c>
      <c r="B48" s="4">
        <v>0.57366898148148149</v>
      </c>
      <c r="D48" s="5" t="s">
        <v>29</v>
      </c>
      <c r="E48" s="5" t="s">
        <v>32</v>
      </c>
      <c r="F48" s="6" t="s">
        <v>15</v>
      </c>
      <c r="G48" s="6" t="str">
        <f t="shared" si="2"/>
        <v>NA</v>
      </c>
      <c r="H48" s="16" t="s">
        <v>14</v>
      </c>
      <c r="I48" s="6" t="str">
        <f t="shared" si="1"/>
        <v>mount</v>
      </c>
    </row>
    <row r="49" spans="1:10" x14ac:dyDescent="0.25">
      <c r="A49">
        <v>1</v>
      </c>
      <c r="B49" s="4">
        <v>0.59982638888888895</v>
      </c>
      <c r="D49" s="5" t="s">
        <v>19</v>
      </c>
      <c r="E49" s="5" t="s">
        <v>26</v>
      </c>
      <c r="F49" s="6" t="s">
        <v>14</v>
      </c>
      <c r="G49" s="6" t="s">
        <v>14</v>
      </c>
      <c r="H49" s="16" t="str">
        <f t="shared" si="0"/>
        <v>NA</v>
      </c>
      <c r="I49" s="6" t="str">
        <f t="shared" si="1"/>
        <v>mount</v>
      </c>
      <c r="J49" s="18"/>
    </row>
    <row r="50" spans="1:10" x14ac:dyDescent="0.25">
      <c r="A50">
        <v>1</v>
      </c>
      <c r="B50" s="4">
        <v>0.63443287037037044</v>
      </c>
      <c r="C50" s="4">
        <v>0.63480324074074079</v>
      </c>
      <c r="D50" s="5" t="s">
        <v>27</v>
      </c>
      <c r="E50" s="5" t="s">
        <v>32</v>
      </c>
      <c r="F50" s="6" t="s">
        <v>14</v>
      </c>
      <c r="G50" s="6" t="s">
        <v>15</v>
      </c>
      <c r="H50" s="16" t="s">
        <v>15</v>
      </c>
      <c r="I50" s="6" t="str">
        <f t="shared" si="1"/>
        <v>insemination</v>
      </c>
    </row>
    <row r="51" spans="1:10" x14ac:dyDescent="0.25">
      <c r="A51">
        <v>2</v>
      </c>
      <c r="B51" s="4">
        <v>0.33978009259259262</v>
      </c>
      <c r="C51" s="4">
        <v>0.3402662037037037</v>
      </c>
      <c r="D51" s="5" t="s">
        <v>22</v>
      </c>
      <c r="E51" s="5" t="s">
        <v>13</v>
      </c>
      <c r="F51" s="6" t="s">
        <v>15</v>
      </c>
      <c r="G51" s="6" t="str">
        <f t="shared" si="2"/>
        <v>NA</v>
      </c>
      <c r="H51" s="16" t="s">
        <v>15</v>
      </c>
      <c r="I51" s="6" t="str">
        <f t="shared" si="1"/>
        <v>insemination</v>
      </c>
    </row>
    <row r="52" spans="1:10" x14ac:dyDescent="0.25">
      <c r="A52">
        <v>2</v>
      </c>
      <c r="B52" s="4">
        <v>0.34089120370370374</v>
      </c>
      <c r="C52" s="4"/>
      <c r="D52" s="5" t="s">
        <v>17</v>
      </c>
      <c r="E52" s="5" t="s">
        <v>25</v>
      </c>
      <c r="F52" s="6" t="s">
        <v>15</v>
      </c>
      <c r="G52" s="6" t="str">
        <f t="shared" si="2"/>
        <v>NA</v>
      </c>
      <c r="H52" s="16" t="s">
        <v>14</v>
      </c>
      <c r="I52" s="6" t="str">
        <f t="shared" si="1"/>
        <v>mount</v>
      </c>
      <c r="J52" s="18"/>
    </row>
    <row r="53" spans="1:10" x14ac:dyDescent="0.25">
      <c r="A53">
        <v>2</v>
      </c>
      <c r="B53" s="4">
        <v>0.34177083333333336</v>
      </c>
      <c r="C53" s="4">
        <v>0.34222222222222221</v>
      </c>
      <c r="D53" s="5" t="s">
        <v>11</v>
      </c>
      <c r="E53" s="5" t="s">
        <v>12</v>
      </c>
      <c r="F53" s="6" t="s">
        <v>14</v>
      </c>
      <c r="G53" s="6" t="s">
        <v>15</v>
      </c>
      <c r="H53" s="16" t="s">
        <v>15</v>
      </c>
      <c r="I53" s="6" t="str">
        <f t="shared" si="1"/>
        <v>insemination</v>
      </c>
    </row>
    <row r="54" spans="1:10" x14ac:dyDescent="0.25">
      <c r="A54">
        <v>2</v>
      </c>
      <c r="B54" s="4">
        <v>0.34707175925925932</v>
      </c>
      <c r="D54" s="5" t="s">
        <v>22</v>
      </c>
      <c r="E54" s="5" t="s">
        <v>13</v>
      </c>
      <c r="F54" s="6" t="s">
        <v>14</v>
      </c>
      <c r="G54" s="6" t="s">
        <v>15</v>
      </c>
      <c r="H54" s="16" t="s">
        <v>14</v>
      </c>
      <c r="I54" s="6" t="str">
        <f t="shared" si="1"/>
        <v>mount</v>
      </c>
    </row>
    <row r="55" spans="1:10" x14ac:dyDescent="0.25">
      <c r="A55">
        <v>2</v>
      </c>
      <c r="B55" s="4">
        <v>0.38648148148148148</v>
      </c>
      <c r="D55" s="5" t="s">
        <v>22</v>
      </c>
      <c r="E55" s="5" t="s">
        <v>25</v>
      </c>
      <c r="F55" s="6" t="s">
        <v>14</v>
      </c>
      <c r="G55" s="6" t="s">
        <v>14</v>
      </c>
      <c r="H55" s="16" t="str">
        <f t="shared" si="0"/>
        <v>NA</v>
      </c>
      <c r="I55" s="6" t="str">
        <f t="shared" si="1"/>
        <v>mount</v>
      </c>
      <c r="J55" s="19" t="s">
        <v>33</v>
      </c>
    </row>
    <row r="56" spans="1:10" x14ac:dyDescent="0.25">
      <c r="A56">
        <v>2</v>
      </c>
      <c r="B56" s="4">
        <v>0.39626157407407409</v>
      </c>
      <c r="C56" s="4">
        <v>0.39645833333333336</v>
      </c>
      <c r="D56" s="5" t="s">
        <v>21</v>
      </c>
      <c r="E56" s="5" t="s">
        <v>12</v>
      </c>
      <c r="F56" s="6" t="s">
        <v>15</v>
      </c>
      <c r="G56" s="6" t="str">
        <f t="shared" si="2"/>
        <v>NA</v>
      </c>
      <c r="H56" s="16" t="s">
        <v>14</v>
      </c>
      <c r="I56" s="6" t="str">
        <f t="shared" si="1"/>
        <v>mount</v>
      </c>
    </row>
    <row r="57" spans="1:10" x14ac:dyDescent="0.25">
      <c r="A57">
        <v>2</v>
      </c>
      <c r="B57" s="4">
        <v>0.39892361111111113</v>
      </c>
      <c r="D57" s="5" t="s">
        <v>22</v>
      </c>
      <c r="E57" s="5" t="s">
        <v>13</v>
      </c>
      <c r="F57" s="6" t="s">
        <v>14</v>
      </c>
      <c r="G57" s="6" t="s">
        <v>14</v>
      </c>
      <c r="H57" s="16" t="str">
        <f t="shared" si="0"/>
        <v>NA</v>
      </c>
      <c r="I57" s="6" t="str">
        <f t="shared" si="1"/>
        <v>mount</v>
      </c>
    </row>
    <row r="58" spans="1:10" x14ac:dyDescent="0.25">
      <c r="A58">
        <v>2</v>
      </c>
      <c r="B58" s="4">
        <v>0.40057870370370369</v>
      </c>
      <c r="C58" s="4">
        <v>0.40092592592592591</v>
      </c>
      <c r="D58" s="5" t="s">
        <v>24</v>
      </c>
      <c r="E58" s="5" t="s">
        <v>26</v>
      </c>
      <c r="F58" s="6" t="s">
        <v>14</v>
      </c>
      <c r="G58" s="6" t="s">
        <v>15</v>
      </c>
      <c r="H58" s="16" t="s">
        <v>15</v>
      </c>
      <c r="I58" s="6" t="str">
        <f t="shared" si="1"/>
        <v>insemination</v>
      </c>
    </row>
    <row r="59" spans="1:10" x14ac:dyDescent="0.25">
      <c r="A59">
        <v>2</v>
      </c>
      <c r="B59" s="4">
        <v>0.40438657407407402</v>
      </c>
      <c r="D59" s="5" t="s">
        <v>22</v>
      </c>
      <c r="E59" s="5" t="s">
        <v>20</v>
      </c>
      <c r="F59" s="6" t="s">
        <v>14</v>
      </c>
      <c r="G59" s="6" t="s">
        <v>14</v>
      </c>
      <c r="H59" s="16" t="str">
        <f t="shared" si="0"/>
        <v>NA</v>
      </c>
      <c r="I59" s="6" t="str">
        <f t="shared" si="1"/>
        <v>mount</v>
      </c>
    </row>
    <row r="60" spans="1:10" x14ac:dyDescent="0.25">
      <c r="A60">
        <v>2</v>
      </c>
      <c r="B60" s="4">
        <v>0.40498842592592593</v>
      </c>
      <c r="D60" s="5" t="s">
        <v>24</v>
      </c>
      <c r="E60" s="5" t="s">
        <v>20</v>
      </c>
      <c r="F60" s="6" t="s">
        <v>14</v>
      </c>
      <c r="G60" s="6" t="s">
        <v>15</v>
      </c>
      <c r="H60" s="16" t="s">
        <v>14</v>
      </c>
      <c r="I60" s="6" t="str">
        <f t="shared" si="1"/>
        <v>mount</v>
      </c>
    </row>
    <row r="61" spans="1:10" x14ac:dyDescent="0.25">
      <c r="A61">
        <v>2</v>
      </c>
      <c r="B61" s="4">
        <v>0.40940972222222222</v>
      </c>
      <c r="D61" s="5" t="s">
        <v>22</v>
      </c>
      <c r="E61" s="5" t="s">
        <v>25</v>
      </c>
      <c r="F61" s="6" t="s">
        <v>14</v>
      </c>
      <c r="G61" s="6" t="s">
        <v>14</v>
      </c>
      <c r="H61" s="16" t="str">
        <f t="shared" si="0"/>
        <v>NA</v>
      </c>
      <c r="I61" s="6" t="str">
        <f t="shared" si="1"/>
        <v>mount</v>
      </c>
    </row>
    <row r="62" spans="1:10" x14ac:dyDescent="0.25">
      <c r="A62">
        <v>2</v>
      </c>
      <c r="B62" s="4">
        <v>0.41030092592592587</v>
      </c>
      <c r="D62" s="5" t="s">
        <v>17</v>
      </c>
      <c r="E62" s="5" t="s">
        <v>26</v>
      </c>
      <c r="F62" s="6" t="s">
        <v>15</v>
      </c>
      <c r="G62" s="6" t="str">
        <f t="shared" si="2"/>
        <v>NA</v>
      </c>
      <c r="H62" s="16" t="s">
        <v>14</v>
      </c>
      <c r="I62" s="6" t="str">
        <f t="shared" si="1"/>
        <v>mount</v>
      </c>
    </row>
    <row r="63" spans="1:10" x14ac:dyDescent="0.25">
      <c r="A63">
        <v>2</v>
      </c>
      <c r="B63" s="4">
        <v>0.41174768518518517</v>
      </c>
      <c r="D63" s="5" t="s">
        <v>24</v>
      </c>
      <c r="E63" s="5" t="s">
        <v>25</v>
      </c>
      <c r="F63" s="6" t="s">
        <v>15</v>
      </c>
      <c r="G63" s="6" t="str">
        <f t="shared" si="2"/>
        <v>NA</v>
      </c>
      <c r="H63" s="16" t="s">
        <v>14</v>
      </c>
      <c r="I63" s="6" t="str">
        <f t="shared" si="1"/>
        <v>mount</v>
      </c>
    </row>
    <row r="64" spans="1:10" x14ac:dyDescent="0.25">
      <c r="A64">
        <v>2</v>
      </c>
      <c r="B64" s="4">
        <v>0.41951388888888891</v>
      </c>
      <c r="C64" s="4">
        <v>0.41973379629629631</v>
      </c>
      <c r="D64" s="5" t="s">
        <v>19</v>
      </c>
      <c r="E64" s="5" t="s">
        <v>26</v>
      </c>
      <c r="F64" s="6" t="s">
        <v>15</v>
      </c>
      <c r="G64" s="6" t="str">
        <f t="shared" si="2"/>
        <v>NA</v>
      </c>
      <c r="H64" s="16" t="s">
        <v>14</v>
      </c>
      <c r="I64" s="6" t="str">
        <f t="shared" si="1"/>
        <v>mount</v>
      </c>
    </row>
    <row r="65" spans="1:10" x14ac:dyDescent="0.25">
      <c r="A65">
        <v>2</v>
      </c>
      <c r="B65" s="4">
        <v>0.44233796296296296</v>
      </c>
      <c r="C65" s="4">
        <v>0.44253472222222223</v>
      </c>
      <c r="D65" s="5" t="s">
        <v>21</v>
      </c>
      <c r="E65" s="5" t="s">
        <v>12</v>
      </c>
      <c r="F65" s="6" t="s">
        <v>15</v>
      </c>
      <c r="G65" s="6" t="str">
        <f t="shared" si="2"/>
        <v>NA</v>
      </c>
      <c r="H65" s="16" t="s">
        <v>14</v>
      </c>
      <c r="I65" s="6" t="str">
        <f t="shared" si="1"/>
        <v>mount</v>
      </c>
    </row>
    <row r="66" spans="1:10" x14ac:dyDescent="0.25">
      <c r="A66">
        <v>2</v>
      </c>
      <c r="B66" s="4">
        <v>0.44641203703703702</v>
      </c>
      <c r="C66" s="4">
        <v>0.44645833333333335</v>
      </c>
      <c r="D66" s="5" t="s">
        <v>11</v>
      </c>
      <c r="E66" s="5" t="s">
        <v>12</v>
      </c>
      <c r="F66" s="6" t="s">
        <v>15</v>
      </c>
      <c r="G66" s="6" t="str">
        <f t="shared" si="2"/>
        <v>NA</v>
      </c>
      <c r="H66" s="16" t="s">
        <v>14</v>
      </c>
      <c r="I66" s="6" t="str">
        <f t="shared" si="1"/>
        <v>mount</v>
      </c>
    </row>
    <row r="67" spans="1:10" x14ac:dyDescent="0.25">
      <c r="A67">
        <v>2</v>
      </c>
      <c r="B67" s="4">
        <v>0.44681712962962966</v>
      </c>
      <c r="D67" s="5" t="s">
        <v>29</v>
      </c>
      <c r="E67" s="5" t="s">
        <v>32</v>
      </c>
      <c r="F67" s="6" t="s">
        <v>14</v>
      </c>
      <c r="G67" s="6" t="s">
        <v>14</v>
      </c>
      <c r="H67" s="16" t="s">
        <v>16</v>
      </c>
      <c r="I67" s="6" t="str">
        <f t="shared" ref="I67:I90" si="3">IF(H67="n", "insemination", "mount")</f>
        <v>mount</v>
      </c>
    </row>
    <row r="68" spans="1:10" x14ac:dyDescent="0.25">
      <c r="A68">
        <v>2</v>
      </c>
      <c r="B68" s="4">
        <v>0.44953703703703707</v>
      </c>
      <c r="D68" s="5" t="s">
        <v>29</v>
      </c>
      <c r="E68" s="5" t="s">
        <v>32</v>
      </c>
      <c r="F68" s="6" t="s">
        <v>14</v>
      </c>
      <c r="G68" s="6" t="s">
        <v>14</v>
      </c>
      <c r="H68" s="16" t="str">
        <f t="shared" ref="H68:H86" si="4">IF(G68 = "y", "NA", "")</f>
        <v>NA</v>
      </c>
      <c r="I68" s="6" t="str">
        <f t="shared" si="3"/>
        <v>mount</v>
      </c>
    </row>
    <row r="69" spans="1:10" x14ac:dyDescent="0.25">
      <c r="A69">
        <v>2</v>
      </c>
      <c r="B69" s="4">
        <v>0.4788310185185185</v>
      </c>
      <c r="C69" s="4">
        <v>0.47917824074074072</v>
      </c>
      <c r="D69" s="5" t="s">
        <v>17</v>
      </c>
      <c r="E69" s="5" t="s">
        <v>18</v>
      </c>
      <c r="F69" s="6" t="s">
        <v>14</v>
      </c>
      <c r="G69" s="6" t="s">
        <v>15</v>
      </c>
      <c r="H69" s="16" t="s">
        <v>15</v>
      </c>
      <c r="I69" s="6" t="str">
        <f t="shared" si="3"/>
        <v>insemination</v>
      </c>
      <c r="J69" s="19" t="s">
        <v>34</v>
      </c>
    </row>
    <row r="70" spans="1:10" x14ac:dyDescent="0.25">
      <c r="A70">
        <v>2</v>
      </c>
      <c r="B70" s="4">
        <v>0.48372685185185182</v>
      </c>
      <c r="D70" s="5" t="s">
        <v>17</v>
      </c>
      <c r="E70" s="5" t="s">
        <v>25</v>
      </c>
      <c r="F70" s="6" t="s">
        <v>15</v>
      </c>
      <c r="G70" s="6" t="str">
        <f t="shared" ref="G70:G90" si="5">IF(F70 = "n", "NA", "")</f>
        <v>NA</v>
      </c>
      <c r="H70" s="16" t="s">
        <v>14</v>
      </c>
      <c r="I70" s="6" t="str">
        <f t="shared" si="3"/>
        <v>mount</v>
      </c>
    </row>
    <row r="71" spans="1:10" x14ac:dyDescent="0.25">
      <c r="A71">
        <v>2</v>
      </c>
      <c r="B71" s="4">
        <v>0.49866898148148148</v>
      </c>
      <c r="C71" s="4"/>
      <c r="D71" s="5" t="s">
        <v>27</v>
      </c>
      <c r="E71" s="5" t="s">
        <v>18</v>
      </c>
      <c r="F71" s="6" t="s">
        <v>14</v>
      </c>
      <c r="G71" s="6" t="s">
        <v>15</v>
      </c>
      <c r="H71" s="16" t="s">
        <v>14</v>
      </c>
      <c r="I71" s="6" t="str">
        <f t="shared" si="3"/>
        <v>mount</v>
      </c>
    </row>
    <row r="72" spans="1:10" x14ac:dyDescent="0.25">
      <c r="A72">
        <v>2</v>
      </c>
      <c r="B72" s="4">
        <v>0.51034722222222217</v>
      </c>
      <c r="D72" s="5" t="s">
        <v>27</v>
      </c>
      <c r="E72" s="5" t="s">
        <v>13</v>
      </c>
      <c r="F72" s="6" t="s">
        <v>14</v>
      </c>
      <c r="G72" s="6" t="s">
        <v>15</v>
      </c>
      <c r="H72" s="16" t="s">
        <v>14</v>
      </c>
      <c r="I72" s="6" t="str">
        <f t="shared" si="3"/>
        <v>mount</v>
      </c>
    </row>
    <row r="73" spans="1:10" x14ac:dyDescent="0.25">
      <c r="A73">
        <v>2</v>
      </c>
      <c r="B73" s="4">
        <v>0.510625</v>
      </c>
      <c r="D73" s="5" t="s">
        <v>17</v>
      </c>
      <c r="E73" s="5" t="s">
        <v>13</v>
      </c>
      <c r="F73" s="6" t="s">
        <v>14</v>
      </c>
      <c r="G73" s="6" t="s">
        <v>14</v>
      </c>
      <c r="H73" s="16" t="str">
        <f t="shared" si="4"/>
        <v>NA</v>
      </c>
      <c r="I73" s="6" t="str">
        <f t="shared" si="3"/>
        <v>mount</v>
      </c>
    </row>
    <row r="74" spans="1:10" x14ac:dyDescent="0.25">
      <c r="A74">
        <v>2</v>
      </c>
      <c r="B74" s="4">
        <v>0.51149305555555558</v>
      </c>
      <c r="D74" s="5" t="s">
        <v>24</v>
      </c>
      <c r="E74" s="5" t="s">
        <v>13</v>
      </c>
      <c r="F74" s="6" t="s">
        <v>15</v>
      </c>
      <c r="G74" s="6" t="str">
        <f t="shared" si="5"/>
        <v>NA</v>
      </c>
      <c r="H74" s="16" t="s">
        <v>14</v>
      </c>
      <c r="I74" s="6" t="str">
        <f t="shared" si="3"/>
        <v>mount</v>
      </c>
      <c r="J74" s="18"/>
    </row>
    <row r="75" spans="1:10" x14ac:dyDescent="0.25">
      <c r="A75">
        <v>2</v>
      </c>
      <c r="B75" s="4">
        <v>0.51423611111111112</v>
      </c>
      <c r="D75" s="5" t="s">
        <v>24</v>
      </c>
      <c r="E75" s="5" t="s">
        <v>25</v>
      </c>
      <c r="F75" s="6" t="s">
        <v>14</v>
      </c>
      <c r="G75" s="6" t="s">
        <v>15</v>
      </c>
      <c r="H75" s="16" t="s">
        <v>14</v>
      </c>
      <c r="I75" s="6" t="str">
        <f t="shared" si="3"/>
        <v>mount</v>
      </c>
    </row>
    <row r="76" spans="1:10" x14ac:dyDescent="0.25">
      <c r="A76">
        <v>2</v>
      </c>
      <c r="B76" s="4">
        <v>0.51539351851851845</v>
      </c>
      <c r="D76" s="21" t="s">
        <v>27</v>
      </c>
      <c r="E76" s="5" t="s">
        <v>31</v>
      </c>
      <c r="F76" s="6" t="s">
        <v>14</v>
      </c>
      <c r="G76" s="6" t="s">
        <v>14</v>
      </c>
      <c r="H76" s="16" t="str">
        <f t="shared" si="4"/>
        <v>NA</v>
      </c>
      <c r="I76" s="6" t="str">
        <f t="shared" si="3"/>
        <v>mount</v>
      </c>
    </row>
    <row r="77" spans="1:10" x14ac:dyDescent="0.25">
      <c r="A77">
        <v>2</v>
      </c>
      <c r="B77" s="4">
        <v>0.51809027777777772</v>
      </c>
      <c r="D77" s="5" t="s">
        <v>17</v>
      </c>
      <c r="E77" s="5" t="s">
        <v>25</v>
      </c>
      <c r="F77" s="6" t="s">
        <v>15</v>
      </c>
      <c r="G77" s="6" t="str">
        <f t="shared" si="5"/>
        <v>NA</v>
      </c>
      <c r="H77" s="16" t="s">
        <v>14</v>
      </c>
      <c r="I77" s="6" t="str">
        <f t="shared" si="3"/>
        <v>mount</v>
      </c>
    </row>
    <row r="78" spans="1:10" x14ac:dyDescent="0.25">
      <c r="A78">
        <v>2</v>
      </c>
      <c r="B78" s="4">
        <v>0.52137731481481475</v>
      </c>
      <c r="C78" s="4"/>
      <c r="D78" s="5" t="s">
        <v>27</v>
      </c>
      <c r="E78" s="5" t="s">
        <v>31</v>
      </c>
      <c r="F78" s="6" t="s">
        <v>14</v>
      </c>
      <c r="G78" s="6" t="s">
        <v>15</v>
      </c>
      <c r="H78" s="16" t="s">
        <v>14</v>
      </c>
      <c r="I78" s="6" t="str">
        <f t="shared" si="3"/>
        <v>mount</v>
      </c>
    </row>
    <row r="79" spans="1:10" x14ac:dyDescent="0.25">
      <c r="A79">
        <v>2</v>
      </c>
      <c r="B79" s="4">
        <v>0.52754629629629635</v>
      </c>
      <c r="D79" s="5" t="s">
        <v>19</v>
      </c>
      <c r="E79" s="5" t="s">
        <v>20</v>
      </c>
      <c r="F79" s="6" t="s">
        <v>14</v>
      </c>
      <c r="G79" s="6" t="s">
        <v>14</v>
      </c>
      <c r="H79" s="16" t="str">
        <f t="shared" si="4"/>
        <v>NA</v>
      </c>
      <c r="I79" s="6" t="str">
        <f t="shared" si="3"/>
        <v>mount</v>
      </c>
    </row>
    <row r="80" spans="1:10" x14ac:dyDescent="0.25">
      <c r="A80">
        <v>2</v>
      </c>
      <c r="B80" s="4">
        <v>0.52755787037037039</v>
      </c>
      <c r="D80" s="5" t="s">
        <v>22</v>
      </c>
      <c r="E80" s="5" t="s">
        <v>20</v>
      </c>
      <c r="F80" s="6" t="s">
        <v>14</v>
      </c>
      <c r="G80" s="6" t="s">
        <v>14</v>
      </c>
      <c r="H80" s="16" t="str">
        <f t="shared" si="4"/>
        <v>NA</v>
      </c>
      <c r="I80" s="6" t="str">
        <f t="shared" si="3"/>
        <v>mount</v>
      </c>
    </row>
    <row r="81" spans="1:10" x14ac:dyDescent="0.25">
      <c r="A81">
        <v>2</v>
      </c>
      <c r="B81" s="4">
        <v>0.53350694444444446</v>
      </c>
      <c r="D81" s="5" t="s">
        <v>19</v>
      </c>
      <c r="E81" s="5" t="s">
        <v>13</v>
      </c>
      <c r="F81" s="6" t="s">
        <v>14</v>
      </c>
      <c r="G81" s="6" t="s">
        <v>14</v>
      </c>
      <c r="H81" s="16" t="str">
        <f t="shared" si="4"/>
        <v>NA</v>
      </c>
      <c r="I81" s="6" t="str">
        <f t="shared" si="3"/>
        <v>mount</v>
      </c>
    </row>
    <row r="82" spans="1:10" x14ac:dyDescent="0.25">
      <c r="A82">
        <v>2</v>
      </c>
      <c r="B82" s="4">
        <v>0.53680555555555554</v>
      </c>
      <c r="D82" s="5" t="s">
        <v>21</v>
      </c>
      <c r="E82" s="5" t="s">
        <v>25</v>
      </c>
      <c r="F82" s="6" t="s">
        <v>14</v>
      </c>
      <c r="G82" s="6" t="s">
        <v>14</v>
      </c>
      <c r="H82" s="16" t="str">
        <f t="shared" si="4"/>
        <v>NA</v>
      </c>
      <c r="I82" s="6" t="str">
        <f t="shared" si="3"/>
        <v>mount</v>
      </c>
    </row>
    <row r="83" spans="1:10" x14ac:dyDescent="0.25">
      <c r="A83">
        <v>2</v>
      </c>
      <c r="B83" s="4">
        <v>0.5441435185185185</v>
      </c>
      <c r="C83" s="4">
        <v>0.54484953703703709</v>
      </c>
      <c r="D83" s="5" t="s">
        <v>24</v>
      </c>
      <c r="E83" s="5" t="s">
        <v>26</v>
      </c>
      <c r="F83" s="6" t="s">
        <v>15</v>
      </c>
      <c r="G83" s="6" t="str">
        <f t="shared" si="5"/>
        <v>NA</v>
      </c>
      <c r="H83" s="16" t="s">
        <v>15</v>
      </c>
      <c r="I83" s="6" t="str">
        <f t="shared" si="3"/>
        <v>insemination</v>
      </c>
    </row>
    <row r="84" spans="1:10" x14ac:dyDescent="0.25">
      <c r="A84">
        <v>2</v>
      </c>
      <c r="B84" s="4">
        <v>0.54519675925925926</v>
      </c>
      <c r="C84" s="4"/>
      <c r="D84" s="5" t="s">
        <v>29</v>
      </c>
      <c r="E84" s="5" t="s">
        <v>26</v>
      </c>
      <c r="F84" s="6" t="s">
        <v>14</v>
      </c>
      <c r="G84" s="6" t="s">
        <v>14</v>
      </c>
      <c r="H84" s="16" t="str">
        <f t="shared" si="4"/>
        <v>NA</v>
      </c>
      <c r="I84" s="6" t="str">
        <f t="shared" si="3"/>
        <v>mount</v>
      </c>
      <c r="J84" s="18"/>
    </row>
    <row r="85" spans="1:10" x14ac:dyDescent="0.25">
      <c r="A85">
        <v>2</v>
      </c>
      <c r="B85" s="4">
        <v>0.56202546296296296</v>
      </c>
      <c r="D85" s="5" t="s">
        <v>27</v>
      </c>
      <c r="E85" s="5" t="s">
        <v>25</v>
      </c>
      <c r="F85" s="6" t="s">
        <v>15</v>
      </c>
      <c r="G85" s="6" t="str">
        <f t="shared" si="5"/>
        <v>NA</v>
      </c>
      <c r="H85" s="16" t="s">
        <v>14</v>
      </c>
      <c r="I85" s="6" t="str">
        <f t="shared" si="3"/>
        <v>mount</v>
      </c>
    </row>
    <row r="86" spans="1:10" x14ac:dyDescent="0.25">
      <c r="A86">
        <v>2</v>
      </c>
      <c r="B86" s="4">
        <v>0.56403935185185183</v>
      </c>
      <c r="D86" s="5" t="s">
        <v>21</v>
      </c>
      <c r="E86" s="5" t="s">
        <v>12</v>
      </c>
      <c r="F86" s="6" t="s">
        <v>14</v>
      </c>
      <c r="G86" s="6" t="s">
        <v>14</v>
      </c>
      <c r="H86" s="16" t="str">
        <f t="shared" si="4"/>
        <v>NA</v>
      </c>
      <c r="I86" s="6" t="str">
        <f t="shared" si="3"/>
        <v>mount</v>
      </c>
    </row>
    <row r="87" spans="1:10" x14ac:dyDescent="0.25">
      <c r="A87">
        <v>2</v>
      </c>
      <c r="B87" s="4">
        <v>0.58796296296296291</v>
      </c>
      <c r="D87" s="5" t="s">
        <v>29</v>
      </c>
      <c r="E87" s="5" t="s">
        <v>26</v>
      </c>
      <c r="F87" s="6" t="s">
        <v>15</v>
      </c>
      <c r="G87" s="6" t="str">
        <f t="shared" si="5"/>
        <v>NA</v>
      </c>
      <c r="H87" s="16" t="s">
        <v>15</v>
      </c>
      <c r="I87" s="6" t="str">
        <f t="shared" si="3"/>
        <v>insemination</v>
      </c>
    </row>
    <row r="88" spans="1:10" x14ac:dyDescent="0.25">
      <c r="A88">
        <v>2</v>
      </c>
      <c r="B88" s="4">
        <v>0.59145833333333331</v>
      </c>
      <c r="D88" s="5" t="s">
        <v>24</v>
      </c>
      <c r="E88" s="5" t="s">
        <v>20</v>
      </c>
      <c r="F88" s="6" t="s">
        <v>15</v>
      </c>
      <c r="G88" s="6" t="str">
        <f t="shared" si="5"/>
        <v>NA</v>
      </c>
      <c r="H88" s="16" t="s">
        <v>14</v>
      </c>
      <c r="I88" s="6" t="str">
        <f t="shared" si="3"/>
        <v>mount</v>
      </c>
    </row>
    <row r="89" spans="1:10" x14ac:dyDescent="0.25">
      <c r="A89">
        <v>2</v>
      </c>
      <c r="B89" s="4">
        <v>0.59537037037037044</v>
      </c>
      <c r="D89" s="5" t="s">
        <v>29</v>
      </c>
      <c r="E89" s="5" t="s">
        <v>25</v>
      </c>
      <c r="F89" s="6" t="s">
        <v>14</v>
      </c>
      <c r="G89" s="6" t="s">
        <v>15</v>
      </c>
      <c r="H89" s="16" t="s">
        <v>14</v>
      </c>
      <c r="I89" s="6" t="str">
        <f t="shared" si="3"/>
        <v>mount</v>
      </c>
    </row>
    <row r="90" spans="1:10" x14ac:dyDescent="0.25">
      <c r="A90">
        <v>2</v>
      </c>
      <c r="B90" s="4">
        <v>0.60171296296296295</v>
      </c>
      <c r="D90" s="5" t="s">
        <v>29</v>
      </c>
      <c r="E90" s="5" t="s">
        <v>12</v>
      </c>
      <c r="F90" s="6" t="s">
        <v>15</v>
      </c>
      <c r="G90" s="6" t="str">
        <f t="shared" si="5"/>
        <v>NA</v>
      </c>
      <c r="H90" s="16" t="s">
        <v>14</v>
      </c>
      <c r="I90" s="6" t="str">
        <f t="shared" si="3"/>
        <v>mount</v>
      </c>
    </row>
    <row r="91" spans="1:10" x14ac:dyDescent="0.25">
      <c r="B91"/>
      <c r="C91"/>
      <c r="D91"/>
      <c r="E91"/>
      <c r="F91"/>
      <c r="G91"/>
      <c r="H91"/>
      <c r="I91"/>
    </row>
    <row r="92" spans="1:10" x14ac:dyDescent="0.25">
      <c r="B92"/>
      <c r="C92"/>
      <c r="D92"/>
      <c r="E92"/>
      <c r="F92"/>
      <c r="G92"/>
      <c r="H92"/>
      <c r="I92"/>
    </row>
    <row r="93" spans="1:10" x14ac:dyDescent="0.25">
      <c r="B93"/>
      <c r="C93"/>
      <c r="D93"/>
      <c r="E93"/>
      <c r="F93"/>
      <c r="G93"/>
      <c r="H93"/>
      <c r="I93"/>
    </row>
    <row r="94" spans="1:10" x14ac:dyDescent="0.25">
      <c r="B94"/>
      <c r="C94"/>
      <c r="D94"/>
      <c r="E94"/>
      <c r="F94"/>
      <c r="G94"/>
      <c r="H94"/>
      <c r="I94"/>
    </row>
    <row r="95" spans="1:10" x14ac:dyDescent="0.25">
      <c r="B95"/>
      <c r="C95"/>
      <c r="D95"/>
      <c r="E95"/>
      <c r="F95"/>
      <c r="G95"/>
      <c r="H95"/>
      <c r="I95"/>
    </row>
    <row r="96" spans="1:10" x14ac:dyDescent="0.25">
      <c r="B96"/>
      <c r="C96"/>
      <c r="D96"/>
      <c r="E96"/>
      <c r="F96"/>
      <c r="G96"/>
      <c r="H96"/>
      <c r="I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spans="2:9" x14ac:dyDescent="0.25">
      <c r="B593"/>
      <c r="C593"/>
      <c r="D593"/>
      <c r="E593"/>
      <c r="F593"/>
      <c r="G593"/>
      <c r="H593"/>
      <c r="I593"/>
    </row>
    <row r="594" spans="2:9" x14ac:dyDescent="0.25">
      <c r="B594"/>
      <c r="C594"/>
      <c r="D594"/>
      <c r="E594"/>
      <c r="F594"/>
      <c r="G594"/>
      <c r="H594"/>
      <c r="I594"/>
    </row>
    <row r="595" spans="2:9" x14ac:dyDescent="0.25">
      <c r="B595"/>
      <c r="C595"/>
      <c r="D595"/>
      <c r="E595"/>
      <c r="F595"/>
      <c r="G595"/>
      <c r="H595"/>
      <c r="I595"/>
    </row>
    <row r="596" spans="2:9" x14ac:dyDescent="0.25">
      <c r="B596"/>
      <c r="C596"/>
      <c r="D596"/>
      <c r="E596"/>
      <c r="F596"/>
      <c r="G596"/>
      <c r="H596"/>
      <c r="I596"/>
    </row>
    <row r="597" spans="2:9" x14ac:dyDescent="0.25">
      <c r="B597"/>
      <c r="C597"/>
      <c r="D597"/>
      <c r="E597"/>
      <c r="F597"/>
      <c r="G597"/>
      <c r="H597"/>
      <c r="I597"/>
    </row>
    <row r="598" spans="2:9" x14ac:dyDescent="0.25">
      <c r="B598"/>
      <c r="C598"/>
      <c r="D598"/>
      <c r="E598"/>
      <c r="F598"/>
      <c r="G598"/>
      <c r="H598"/>
      <c r="I598"/>
    </row>
    <row r="599" spans="2:9" x14ac:dyDescent="0.25">
      <c r="B599"/>
      <c r="C599"/>
      <c r="D599"/>
      <c r="E599"/>
      <c r="F599"/>
      <c r="G599"/>
      <c r="H599"/>
      <c r="I599"/>
    </row>
    <row r="600" spans="2:9" x14ac:dyDescent="0.25">
      <c r="B600"/>
      <c r="C600"/>
      <c r="D600"/>
      <c r="E600"/>
      <c r="F600"/>
      <c r="G600"/>
      <c r="H600"/>
      <c r="I600"/>
    </row>
    <row r="601" spans="2:9" x14ac:dyDescent="0.25">
      <c r="B601"/>
      <c r="C601"/>
      <c r="D601"/>
      <c r="E601"/>
      <c r="F601"/>
      <c r="G601"/>
      <c r="H601"/>
      <c r="I601"/>
    </row>
    <row r="602" spans="2:9" x14ac:dyDescent="0.25">
      <c r="B602"/>
      <c r="C602"/>
      <c r="D602"/>
      <c r="E602"/>
      <c r="F602"/>
      <c r="G602"/>
      <c r="H602"/>
      <c r="I602"/>
    </row>
    <row r="603" spans="2:9" x14ac:dyDescent="0.25">
      <c r="B603"/>
      <c r="C603"/>
      <c r="D603"/>
      <c r="E603"/>
      <c r="F603"/>
      <c r="G603"/>
      <c r="H603"/>
      <c r="I603"/>
    </row>
    <row r="604" spans="2:9" x14ac:dyDescent="0.25">
      <c r="B604"/>
      <c r="C604"/>
      <c r="D604"/>
      <c r="E604"/>
      <c r="F604"/>
      <c r="G604"/>
      <c r="H604"/>
      <c r="I604"/>
    </row>
    <row r="605" spans="2:9" x14ac:dyDescent="0.25">
      <c r="B605"/>
      <c r="C605"/>
      <c r="D605"/>
      <c r="E605"/>
      <c r="F605"/>
      <c r="G605"/>
      <c r="H605"/>
      <c r="I605"/>
    </row>
    <row r="606" spans="2:9" x14ac:dyDescent="0.25">
      <c r="B606"/>
      <c r="C606"/>
      <c r="D606"/>
      <c r="E606"/>
      <c r="F606"/>
      <c r="G606"/>
      <c r="H606"/>
      <c r="I606"/>
    </row>
    <row r="607" spans="2:9" x14ac:dyDescent="0.25">
      <c r="G607" s="6" t="str">
        <f t="shared" ref="G607:G642" si="6">IF(F607 = "n", "NA", "")</f>
        <v/>
      </c>
      <c r="H607" s="16" t="str">
        <f t="shared" ref="H607:H642" si="7">IF(G607 = "y", "NA", "")</f>
        <v/>
      </c>
    </row>
    <row r="608" spans="2:9" x14ac:dyDescent="0.25">
      <c r="G608" s="6" t="str">
        <f t="shared" si="6"/>
        <v/>
      </c>
      <c r="H608" s="16" t="str">
        <f t="shared" si="7"/>
        <v/>
      </c>
    </row>
    <row r="609" spans="7:8" x14ac:dyDescent="0.25">
      <c r="G609" s="6" t="str">
        <f t="shared" si="6"/>
        <v/>
      </c>
      <c r="H609" s="16" t="str">
        <f t="shared" si="7"/>
        <v/>
      </c>
    </row>
    <row r="610" spans="7:8" x14ac:dyDescent="0.25">
      <c r="G610" s="6" t="str">
        <f t="shared" si="6"/>
        <v/>
      </c>
      <c r="H610" s="16" t="str">
        <f t="shared" si="7"/>
        <v/>
      </c>
    </row>
    <row r="611" spans="7:8" x14ac:dyDescent="0.25">
      <c r="G611" s="6" t="str">
        <f t="shared" si="6"/>
        <v/>
      </c>
      <c r="H611" s="16" t="str">
        <f t="shared" si="7"/>
        <v/>
      </c>
    </row>
    <row r="612" spans="7:8" x14ac:dyDescent="0.25">
      <c r="G612" s="6" t="str">
        <f t="shared" si="6"/>
        <v/>
      </c>
      <c r="H612" s="16" t="str">
        <f t="shared" si="7"/>
        <v/>
      </c>
    </row>
    <row r="613" spans="7:8" x14ac:dyDescent="0.25">
      <c r="G613" s="6" t="str">
        <f t="shared" si="6"/>
        <v/>
      </c>
      <c r="H613" s="16" t="str">
        <f t="shared" si="7"/>
        <v/>
      </c>
    </row>
    <row r="614" spans="7:8" x14ac:dyDescent="0.25">
      <c r="G614" s="6" t="str">
        <f t="shared" si="6"/>
        <v/>
      </c>
      <c r="H614" s="16" t="str">
        <f t="shared" si="7"/>
        <v/>
      </c>
    </row>
    <row r="615" spans="7:8" x14ac:dyDescent="0.25">
      <c r="G615" s="6" t="str">
        <f t="shared" si="6"/>
        <v/>
      </c>
      <c r="H615" s="16" t="str">
        <f t="shared" si="7"/>
        <v/>
      </c>
    </row>
    <row r="616" spans="7:8" x14ac:dyDescent="0.25">
      <c r="G616" s="6" t="str">
        <f t="shared" si="6"/>
        <v/>
      </c>
      <c r="H616" s="16" t="str">
        <f t="shared" si="7"/>
        <v/>
      </c>
    </row>
    <row r="617" spans="7:8" x14ac:dyDescent="0.25">
      <c r="G617" s="6" t="str">
        <f t="shared" si="6"/>
        <v/>
      </c>
      <c r="H617" s="16" t="str">
        <f t="shared" si="7"/>
        <v/>
      </c>
    </row>
    <row r="618" spans="7:8" x14ac:dyDescent="0.25">
      <c r="G618" s="6" t="str">
        <f t="shared" si="6"/>
        <v/>
      </c>
      <c r="H618" s="16" t="str">
        <f t="shared" si="7"/>
        <v/>
      </c>
    </row>
    <row r="619" spans="7:8" x14ac:dyDescent="0.25">
      <c r="G619" s="6" t="str">
        <f t="shared" si="6"/>
        <v/>
      </c>
      <c r="H619" s="16" t="str">
        <f t="shared" si="7"/>
        <v/>
      </c>
    </row>
    <row r="620" spans="7:8" x14ac:dyDescent="0.25">
      <c r="G620" s="6" t="str">
        <f t="shared" si="6"/>
        <v/>
      </c>
      <c r="H620" s="16" t="str">
        <f t="shared" si="7"/>
        <v/>
      </c>
    </row>
    <row r="621" spans="7:8" x14ac:dyDescent="0.25">
      <c r="G621" s="6" t="str">
        <f t="shared" si="6"/>
        <v/>
      </c>
      <c r="H621" s="16" t="str">
        <f t="shared" si="7"/>
        <v/>
      </c>
    </row>
    <row r="622" spans="7:8" x14ac:dyDescent="0.25">
      <c r="G622" s="6" t="str">
        <f t="shared" si="6"/>
        <v/>
      </c>
      <c r="H622" s="16" t="str">
        <f t="shared" si="7"/>
        <v/>
      </c>
    </row>
    <row r="623" spans="7:8" x14ac:dyDescent="0.25">
      <c r="G623" s="6" t="str">
        <f t="shared" si="6"/>
        <v/>
      </c>
      <c r="H623" s="16" t="str">
        <f t="shared" si="7"/>
        <v/>
      </c>
    </row>
    <row r="624" spans="7:8" x14ac:dyDescent="0.25">
      <c r="G624" s="6" t="str">
        <f t="shared" si="6"/>
        <v/>
      </c>
      <c r="H624" s="16" t="str">
        <f t="shared" si="7"/>
        <v/>
      </c>
    </row>
    <row r="625" spans="7:8" x14ac:dyDescent="0.25">
      <c r="G625" s="6" t="str">
        <f t="shared" si="6"/>
        <v/>
      </c>
      <c r="H625" s="16" t="str">
        <f t="shared" si="7"/>
        <v/>
      </c>
    </row>
    <row r="626" spans="7:8" x14ac:dyDescent="0.25">
      <c r="G626" s="6" t="str">
        <f t="shared" si="6"/>
        <v/>
      </c>
      <c r="H626" s="16" t="str">
        <f t="shared" si="7"/>
        <v/>
      </c>
    </row>
    <row r="627" spans="7:8" x14ac:dyDescent="0.25">
      <c r="G627" s="6" t="str">
        <f t="shared" si="6"/>
        <v/>
      </c>
      <c r="H627" s="16" t="str">
        <f t="shared" si="7"/>
        <v/>
      </c>
    </row>
    <row r="628" spans="7:8" x14ac:dyDescent="0.25">
      <c r="G628" s="6" t="str">
        <f t="shared" si="6"/>
        <v/>
      </c>
      <c r="H628" s="16" t="str">
        <f t="shared" si="7"/>
        <v/>
      </c>
    </row>
    <row r="629" spans="7:8" x14ac:dyDescent="0.25">
      <c r="G629" s="6" t="str">
        <f t="shared" si="6"/>
        <v/>
      </c>
      <c r="H629" s="16" t="str">
        <f t="shared" si="7"/>
        <v/>
      </c>
    </row>
    <row r="630" spans="7:8" x14ac:dyDescent="0.25">
      <c r="G630" s="6" t="str">
        <f t="shared" si="6"/>
        <v/>
      </c>
      <c r="H630" s="16" t="str">
        <f t="shared" si="7"/>
        <v/>
      </c>
    </row>
    <row r="631" spans="7:8" x14ac:dyDescent="0.25">
      <c r="G631" s="6" t="str">
        <f t="shared" si="6"/>
        <v/>
      </c>
      <c r="H631" s="16" t="str">
        <f t="shared" si="7"/>
        <v/>
      </c>
    </row>
    <row r="632" spans="7:8" x14ac:dyDescent="0.25">
      <c r="G632" s="6" t="str">
        <f t="shared" si="6"/>
        <v/>
      </c>
      <c r="H632" s="16" t="str">
        <f t="shared" si="7"/>
        <v/>
      </c>
    </row>
    <row r="633" spans="7:8" x14ac:dyDescent="0.25">
      <c r="G633" s="6" t="str">
        <f t="shared" si="6"/>
        <v/>
      </c>
      <c r="H633" s="16" t="str">
        <f t="shared" si="7"/>
        <v/>
      </c>
    </row>
    <row r="634" spans="7:8" x14ac:dyDescent="0.25">
      <c r="G634" s="6" t="str">
        <f t="shared" si="6"/>
        <v/>
      </c>
      <c r="H634" s="16" t="str">
        <f t="shared" si="7"/>
        <v/>
      </c>
    </row>
    <row r="635" spans="7:8" x14ac:dyDescent="0.25">
      <c r="G635" s="6" t="str">
        <f t="shared" si="6"/>
        <v/>
      </c>
      <c r="H635" s="16" t="str">
        <f t="shared" si="7"/>
        <v/>
      </c>
    </row>
    <row r="636" spans="7:8" x14ac:dyDescent="0.25">
      <c r="G636" s="6" t="str">
        <f t="shared" si="6"/>
        <v/>
      </c>
      <c r="H636" s="16" t="str">
        <f t="shared" si="7"/>
        <v/>
      </c>
    </row>
    <row r="637" spans="7:8" x14ac:dyDescent="0.25">
      <c r="G637" s="6" t="str">
        <f t="shared" si="6"/>
        <v/>
      </c>
      <c r="H637" s="16" t="str">
        <f t="shared" si="7"/>
        <v/>
      </c>
    </row>
    <row r="638" spans="7:8" x14ac:dyDescent="0.25">
      <c r="G638" s="6" t="str">
        <f t="shared" si="6"/>
        <v/>
      </c>
      <c r="H638" s="16" t="str">
        <f t="shared" si="7"/>
        <v/>
      </c>
    </row>
    <row r="639" spans="7:8" x14ac:dyDescent="0.25">
      <c r="G639" s="6" t="str">
        <f t="shared" si="6"/>
        <v/>
      </c>
      <c r="H639" s="16" t="str">
        <f t="shared" si="7"/>
        <v/>
      </c>
    </row>
    <row r="640" spans="7:8" x14ac:dyDescent="0.25">
      <c r="G640" s="6" t="str">
        <f t="shared" si="6"/>
        <v/>
      </c>
      <c r="H640" s="16" t="str">
        <f t="shared" si="7"/>
        <v/>
      </c>
    </row>
    <row r="641" spans="7:8" x14ac:dyDescent="0.25">
      <c r="G641" s="6" t="str">
        <f t="shared" si="6"/>
        <v/>
      </c>
      <c r="H641" s="16" t="str">
        <f t="shared" si="7"/>
        <v/>
      </c>
    </row>
    <row r="642" spans="7:8" x14ac:dyDescent="0.25">
      <c r="G642" s="6" t="str">
        <f t="shared" si="6"/>
        <v/>
      </c>
      <c r="H642" s="16" t="str">
        <f t="shared" si="7"/>
        <v/>
      </c>
    </row>
    <row r="643" spans="7:8" x14ac:dyDescent="0.25">
      <c r="G643" s="6" t="str">
        <f t="shared" ref="G643:G706" si="8">IF(F643 = "n", "NA", "")</f>
        <v/>
      </c>
      <c r="H643" s="16" t="str">
        <f t="shared" ref="H643:H706" si="9">IF(G643 = "y", "NA", "")</f>
        <v/>
      </c>
    </row>
    <row r="644" spans="7:8" x14ac:dyDescent="0.25">
      <c r="G644" s="6" t="str">
        <f t="shared" si="8"/>
        <v/>
      </c>
      <c r="H644" s="16" t="str">
        <f t="shared" si="9"/>
        <v/>
      </c>
    </row>
    <row r="645" spans="7:8" x14ac:dyDescent="0.25">
      <c r="G645" s="6" t="str">
        <f t="shared" si="8"/>
        <v/>
      </c>
      <c r="H645" s="16" t="str">
        <f t="shared" si="9"/>
        <v/>
      </c>
    </row>
    <row r="646" spans="7:8" x14ac:dyDescent="0.25">
      <c r="G646" s="6" t="str">
        <f t="shared" si="8"/>
        <v/>
      </c>
      <c r="H646" s="16" t="str">
        <f t="shared" si="9"/>
        <v/>
      </c>
    </row>
    <row r="647" spans="7:8" x14ac:dyDescent="0.25">
      <c r="G647" s="6" t="str">
        <f t="shared" si="8"/>
        <v/>
      </c>
      <c r="H647" s="16" t="str">
        <f t="shared" si="9"/>
        <v/>
      </c>
    </row>
    <row r="648" spans="7:8" x14ac:dyDescent="0.25">
      <c r="G648" s="6" t="str">
        <f t="shared" si="8"/>
        <v/>
      </c>
      <c r="H648" s="16" t="str">
        <f t="shared" si="9"/>
        <v/>
      </c>
    </row>
    <row r="649" spans="7:8" x14ac:dyDescent="0.25">
      <c r="G649" s="6" t="str">
        <f t="shared" si="8"/>
        <v/>
      </c>
      <c r="H649" s="16" t="str">
        <f t="shared" si="9"/>
        <v/>
      </c>
    </row>
    <row r="650" spans="7:8" x14ac:dyDescent="0.25">
      <c r="G650" s="6" t="str">
        <f t="shared" si="8"/>
        <v/>
      </c>
      <c r="H650" s="16" t="str">
        <f t="shared" si="9"/>
        <v/>
      </c>
    </row>
    <row r="651" spans="7:8" x14ac:dyDescent="0.25">
      <c r="G651" s="6" t="str">
        <f t="shared" si="8"/>
        <v/>
      </c>
      <c r="H651" s="16" t="str">
        <f t="shared" si="9"/>
        <v/>
      </c>
    </row>
    <row r="652" spans="7:8" x14ac:dyDescent="0.25">
      <c r="G652" s="6" t="str">
        <f t="shared" si="8"/>
        <v/>
      </c>
      <c r="H652" s="16" t="str">
        <f t="shared" si="9"/>
        <v/>
      </c>
    </row>
    <row r="653" spans="7:8" x14ac:dyDescent="0.25">
      <c r="G653" s="6" t="str">
        <f t="shared" si="8"/>
        <v/>
      </c>
      <c r="H653" s="16" t="str">
        <f t="shared" si="9"/>
        <v/>
      </c>
    </row>
    <row r="654" spans="7:8" x14ac:dyDescent="0.25">
      <c r="G654" s="6" t="str">
        <f t="shared" si="8"/>
        <v/>
      </c>
      <c r="H654" s="16" t="str">
        <f t="shared" si="9"/>
        <v/>
      </c>
    </row>
    <row r="655" spans="7:8" x14ac:dyDescent="0.25">
      <c r="G655" s="6" t="str">
        <f t="shared" si="8"/>
        <v/>
      </c>
      <c r="H655" s="16" t="str">
        <f t="shared" si="9"/>
        <v/>
      </c>
    </row>
    <row r="656" spans="7:8" x14ac:dyDescent="0.25">
      <c r="G656" s="6" t="str">
        <f t="shared" si="8"/>
        <v/>
      </c>
      <c r="H656" s="16" t="str">
        <f t="shared" si="9"/>
        <v/>
      </c>
    </row>
    <row r="657" spans="7:8" x14ac:dyDescent="0.25">
      <c r="G657" s="6" t="str">
        <f t="shared" si="8"/>
        <v/>
      </c>
      <c r="H657" s="16" t="str">
        <f t="shared" si="9"/>
        <v/>
      </c>
    </row>
    <row r="658" spans="7:8" x14ac:dyDescent="0.25">
      <c r="G658" s="6" t="str">
        <f t="shared" si="8"/>
        <v/>
      </c>
      <c r="H658" s="16" t="str">
        <f t="shared" si="9"/>
        <v/>
      </c>
    </row>
    <row r="659" spans="7:8" x14ac:dyDescent="0.25">
      <c r="G659" s="6" t="str">
        <f t="shared" si="8"/>
        <v/>
      </c>
      <c r="H659" s="16" t="str">
        <f t="shared" si="9"/>
        <v/>
      </c>
    </row>
    <row r="660" spans="7:8" x14ac:dyDescent="0.25">
      <c r="G660" s="6" t="str">
        <f t="shared" si="8"/>
        <v/>
      </c>
      <c r="H660" s="16" t="str">
        <f t="shared" si="9"/>
        <v/>
      </c>
    </row>
    <row r="661" spans="7:8" x14ac:dyDescent="0.25">
      <c r="G661" s="6" t="str">
        <f t="shared" si="8"/>
        <v/>
      </c>
      <c r="H661" s="16" t="str">
        <f t="shared" si="9"/>
        <v/>
      </c>
    </row>
    <row r="662" spans="7:8" x14ac:dyDescent="0.25">
      <c r="G662" s="6" t="str">
        <f t="shared" si="8"/>
        <v/>
      </c>
      <c r="H662" s="16" t="str">
        <f t="shared" si="9"/>
        <v/>
      </c>
    </row>
    <row r="663" spans="7:8" x14ac:dyDescent="0.25">
      <c r="G663" s="6" t="str">
        <f t="shared" si="8"/>
        <v/>
      </c>
      <c r="H663" s="16" t="str">
        <f t="shared" si="9"/>
        <v/>
      </c>
    </row>
    <row r="664" spans="7:8" x14ac:dyDescent="0.25">
      <c r="G664" s="6" t="str">
        <f t="shared" si="8"/>
        <v/>
      </c>
      <c r="H664" s="16" t="str">
        <f t="shared" si="9"/>
        <v/>
      </c>
    </row>
    <row r="665" spans="7:8" x14ac:dyDescent="0.25">
      <c r="G665" s="6" t="str">
        <f t="shared" si="8"/>
        <v/>
      </c>
      <c r="H665" s="16" t="str">
        <f t="shared" si="9"/>
        <v/>
      </c>
    </row>
    <row r="666" spans="7:8" x14ac:dyDescent="0.25">
      <c r="G666" s="6" t="str">
        <f t="shared" si="8"/>
        <v/>
      </c>
      <c r="H666" s="16" t="str">
        <f t="shared" si="9"/>
        <v/>
      </c>
    </row>
    <row r="667" spans="7:8" x14ac:dyDescent="0.25">
      <c r="G667" s="6" t="str">
        <f t="shared" si="8"/>
        <v/>
      </c>
      <c r="H667" s="16" t="str">
        <f t="shared" si="9"/>
        <v/>
      </c>
    </row>
    <row r="668" spans="7:8" x14ac:dyDescent="0.25">
      <c r="G668" s="6" t="str">
        <f t="shared" si="8"/>
        <v/>
      </c>
      <c r="H668" s="16" t="str">
        <f t="shared" si="9"/>
        <v/>
      </c>
    </row>
    <row r="669" spans="7:8" x14ac:dyDescent="0.25">
      <c r="G669" s="6" t="str">
        <f t="shared" si="8"/>
        <v/>
      </c>
      <c r="H669" s="16" t="str">
        <f t="shared" si="9"/>
        <v/>
      </c>
    </row>
    <row r="670" spans="7:8" x14ac:dyDescent="0.25">
      <c r="G670" s="6" t="str">
        <f t="shared" si="8"/>
        <v/>
      </c>
      <c r="H670" s="16" t="str">
        <f t="shared" si="9"/>
        <v/>
      </c>
    </row>
    <row r="671" spans="7:8" x14ac:dyDescent="0.25">
      <c r="G671" s="6" t="str">
        <f t="shared" si="8"/>
        <v/>
      </c>
      <c r="H671" s="16" t="str">
        <f t="shared" si="9"/>
        <v/>
      </c>
    </row>
    <row r="672" spans="7:8" x14ac:dyDescent="0.25">
      <c r="G672" s="6" t="str">
        <f t="shared" si="8"/>
        <v/>
      </c>
      <c r="H672" s="16" t="str">
        <f t="shared" si="9"/>
        <v/>
      </c>
    </row>
    <row r="673" spans="7:8" x14ac:dyDescent="0.25">
      <c r="G673" s="6" t="str">
        <f t="shared" si="8"/>
        <v/>
      </c>
      <c r="H673" s="16" t="str">
        <f t="shared" si="9"/>
        <v/>
      </c>
    </row>
    <row r="674" spans="7:8" x14ac:dyDescent="0.25">
      <c r="G674" s="6" t="str">
        <f t="shared" si="8"/>
        <v/>
      </c>
      <c r="H674" s="16" t="str">
        <f t="shared" si="9"/>
        <v/>
      </c>
    </row>
    <row r="675" spans="7:8" x14ac:dyDescent="0.25">
      <c r="G675" s="6" t="str">
        <f t="shared" si="8"/>
        <v/>
      </c>
      <c r="H675" s="16" t="str">
        <f t="shared" si="9"/>
        <v/>
      </c>
    </row>
    <row r="676" spans="7:8" x14ac:dyDescent="0.25">
      <c r="G676" s="6" t="str">
        <f t="shared" si="8"/>
        <v/>
      </c>
      <c r="H676" s="16" t="str">
        <f t="shared" si="9"/>
        <v/>
      </c>
    </row>
    <row r="677" spans="7:8" x14ac:dyDescent="0.25">
      <c r="G677" s="6" t="str">
        <f t="shared" si="8"/>
        <v/>
      </c>
      <c r="H677" s="16" t="str">
        <f t="shared" si="9"/>
        <v/>
      </c>
    </row>
    <row r="678" spans="7:8" x14ac:dyDescent="0.25">
      <c r="G678" s="6" t="str">
        <f t="shared" si="8"/>
        <v/>
      </c>
      <c r="H678" s="16" t="str">
        <f t="shared" si="9"/>
        <v/>
      </c>
    </row>
    <row r="679" spans="7:8" x14ac:dyDescent="0.25">
      <c r="G679" s="6" t="str">
        <f t="shared" si="8"/>
        <v/>
      </c>
      <c r="H679" s="16" t="str">
        <f t="shared" si="9"/>
        <v/>
      </c>
    </row>
    <row r="680" spans="7:8" x14ac:dyDescent="0.25">
      <c r="G680" s="6" t="str">
        <f t="shared" si="8"/>
        <v/>
      </c>
      <c r="H680" s="16" t="str">
        <f t="shared" si="9"/>
        <v/>
      </c>
    </row>
    <row r="681" spans="7:8" x14ac:dyDescent="0.25">
      <c r="G681" s="6" t="str">
        <f t="shared" si="8"/>
        <v/>
      </c>
      <c r="H681" s="16" t="str">
        <f t="shared" si="9"/>
        <v/>
      </c>
    </row>
    <row r="682" spans="7:8" x14ac:dyDescent="0.25">
      <c r="G682" s="6" t="str">
        <f t="shared" si="8"/>
        <v/>
      </c>
      <c r="H682" s="16" t="str">
        <f t="shared" si="9"/>
        <v/>
      </c>
    </row>
    <row r="683" spans="7:8" x14ac:dyDescent="0.25">
      <c r="G683" s="6" t="str">
        <f t="shared" si="8"/>
        <v/>
      </c>
      <c r="H683" s="16" t="str">
        <f t="shared" si="9"/>
        <v/>
      </c>
    </row>
    <row r="684" spans="7:8" x14ac:dyDescent="0.25">
      <c r="G684" s="6" t="str">
        <f t="shared" si="8"/>
        <v/>
      </c>
      <c r="H684" s="16" t="str">
        <f t="shared" si="9"/>
        <v/>
      </c>
    </row>
    <row r="685" spans="7:8" x14ac:dyDescent="0.25">
      <c r="G685" s="6" t="str">
        <f t="shared" si="8"/>
        <v/>
      </c>
      <c r="H685" s="16" t="str">
        <f t="shared" si="9"/>
        <v/>
      </c>
    </row>
    <row r="686" spans="7:8" x14ac:dyDescent="0.25">
      <c r="G686" s="6" t="str">
        <f t="shared" si="8"/>
        <v/>
      </c>
      <c r="H686" s="16" t="str">
        <f t="shared" si="9"/>
        <v/>
      </c>
    </row>
    <row r="687" spans="7:8" x14ac:dyDescent="0.25">
      <c r="G687" s="6" t="str">
        <f t="shared" si="8"/>
        <v/>
      </c>
      <c r="H687" s="16" t="str">
        <f t="shared" si="9"/>
        <v/>
      </c>
    </row>
    <row r="688" spans="7:8" x14ac:dyDescent="0.25">
      <c r="G688" s="6" t="str">
        <f t="shared" si="8"/>
        <v/>
      </c>
      <c r="H688" s="16" t="str">
        <f t="shared" si="9"/>
        <v/>
      </c>
    </row>
    <row r="689" spans="7:8" x14ac:dyDescent="0.25">
      <c r="G689" s="6" t="str">
        <f t="shared" si="8"/>
        <v/>
      </c>
      <c r="H689" s="16" t="str">
        <f t="shared" si="9"/>
        <v/>
      </c>
    </row>
    <row r="690" spans="7:8" x14ac:dyDescent="0.25">
      <c r="G690" s="6" t="str">
        <f t="shared" si="8"/>
        <v/>
      </c>
      <c r="H690" s="16" t="str">
        <f t="shared" si="9"/>
        <v/>
      </c>
    </row>
    <row r="691" spans="7:8" x14ac:dyDescent="0.25">
      <c r="G691" s="6" t="str">
        <f t="shared" si="8"/>
        <v/>
      </c>
      <c r="H691" s="16" t="str">
        <f t="shared" si="9"/>
        <v/>
      </c>
    </row>
    <row r="692" spans="7:8" x14ac:dyDescent="0.25">
      <c r="G692" s="6" t="str">
        <f t="shared" si="8"/>
        <v/>
      </c>
      <c r="H692" s="16" t="str">
        <f t="shared" si="9"/>
        <v/>
      </c>
    </row>
    <row r="693" spans="7:8" x14ac:dyDescent="0.25">
      <c r="G693" s="6" t="str">
        <f t="shared" si="8"/>
        <v/>
      </c>
      <c r="H693" s="16" t="str">
        <f t="shared" si="9"/>
        <v/>
      </c>
    </row>
    <row r="694" spans="7:8" x14ac:dyDescent="0.25">
      <c r="G694" s="6" t="str">
        <f t="shared" si="8"/>
        <v/>
      </c>
      <c r="H694" s="16" t="str">
        <f t="shared" si="9"/>
        <v/>
      </c>
    </row>
    <row r="695" spans="7:8" x14ac:dyDescent="0.25">
      <c r="G695" s="6" t="str">
        <f t="shared" si="8"/>
        <v/>
      </c>
      <c r="H695" s="16" t="str">
        <f t="shared" si="9"/>
        <v/>
      </c>
    </row>
    <row r="696" spans="7:8" x14ac:dyDescent="0.25">
      <c r="G696" s="6" t="str">
        <f t="shared" si="8"/>
        <v/>
      </c>
      <c r="H696" s="16" t="str">
        <f t="shared" si="9"/>
        <v/>
      </c>
    </row>
    <row r="697" spans="7:8" x14ac:dyDescent="0.25">
      <c r="G697" s="6" t="str">
        <f t="shared" si="8"/>
        <v/>
      </c>
      <c r="H697" s="16" t="str">
        <f t="shared" si="9"/>
        <v/>
      </c>
    </row>
    <row r="698" spans="7:8" x14ac:dyDescent="0.25">
      <c r="G698" s="6" t="str">
        <f t="shared" si="8"/>
        <v/>
      </c>
      <c r="H698" s="16" t="str">
        <f t="shared" si="9"/>
        <v/>
      </c>
    </row>
    <row r="699" spans="7:8" x14ac:dyDescent="0.25">
      <c r="G699" s="6" t="str">
        <f t="shared" si="8"/>
        <v/>
      </c>
      <c r="H699" s="16" t="str">
        <f t="shared" si="9"/>
        <v/>
      </c>
    </row>
    <row r="700" spans="7:8" x14ac:dyDescent="0.25">
      <c r="G700" s="6" t="str">
        <f t="shared" si="8"/>
        <v/>
      </c>
      <c r="H700" s="16" t="str">
        <f t="shared" si="9"/>
        <v/>
      </c>
    </row>
    <row r="701" spans="7:8" x14ac:dyDescent="0.25">
      <c r="G701" s="6" t="str">
        <f t="shared" si="8"/>
        <v/>
      </c>
      <c r="H701" s="16" t="str">
        <f t="shared" si="9"/>
        <v/>
      </c>
    </row>
    <row r="702" spans="7:8" x14ac:dyDescent="0.25">
      <c r="G702" s="6" t="str">
        <f t="shared" si="8"/>
        <v/>
      </c>
      <c r="H702" s="16" t="str">
        <f t="shared" si="9"/>
        <v/>
      </c>
    </row>
    <row r="703" spans="7:8" x14ac:dyDescent="0.25">
      <c r="G703" s="6" t="str">
        <f t="shared" si="8"/>
        <v/>
      </c>
      <c r="H703" s="16" t="str">
        <f t="shared" si="9"/>
        <v/>
      </c>
    </row>
    <row r="704" spans="7:8" x14ac:dyDescent="0.25">
      <c r="G704" s="6" t="str">
        <f t="shared" si="8"/>
        <v/>
      </c>
      <c r="H704" s="16" t="str">
        <f t="shared" si="9"/>
        <v/>
      </c>
    </row>
    <row r="705" spans="7:8" x14ac:dyDescent="0.25">
      <c r="G705" s="6" t="str">
        <f t="shared" si="8"/>
        <v/>
      </c>
      <c r="H705" s="16" t="str">
        <f t="shared" si="9"/>
        <v/>
      </c>
    </row>
    <row r="706" spans="7:8" x14ac:dyDescent="0.25">
      <c r="G706" s="6" t="str">
        <f t="shared" si="8"/>
        <v/>
      </c>
      <c r="H706" s="16" t="str">
        <f t="shared" si="9"/>
        <v/>
      </c>
    </row>
    <row r="707" spans="7:8" x14ac:dyDescent="0.25">
      <c r="G707" s="6" t="str">
        <f t="shared" ref="G707:G770" si="10">IF(F707 = "n", "NA", "")</f>
        <v/>
      </c>
      <c r="H707" s="16" t="str">
        <f t="shared" ref="H707:H770" si="11">IF(G707 = "y", "NA", "")</f>
        <v/>
      </c>
    </row>
    <row r="708" spans="7:8" x14ac:dyDescent="0.25">
      <c r="G708" s="6" t="str">
        <f t="shared" si="10"/>
        <v/>
      </c>
      <c r="H708" s="16" t="str">
        <f t="shared" si="11"/>
        <v/>
      </c>
    </row>
    <row r="709" spans="7:8" x14ac:dyDescent="0.25">
      <c r="G709" s="6" t="str">
        <f t="shared" si="10"/>
        <v/>
      </c>
      <c r="H709" s="16" t="str">
        <f t="shared" si="11"/>
        <v/>
      </c>
    </row>
    <row r="710" spans="7:8" x14ac:dyDescent="0.25">
      <c r="G710" s="6" t="str">
        <f t="shared" si="10"/>
        <v/>
      </c>
      <c r="H710" s="16" t="str">
        <f t="shared" si="11"/>
        <v/>
      </c>
    </row>
    <row r="711" spans="7:8" x14ac:dyDescent="0.25">
      <c r="G711" s="6" t="str">
        <f t="shared" si="10"/>
        <v/>
      </c>
      <c r="H711" s="16" t="str">
        <f t="shared" si="11"/>
        <v/>
      </c>
    </row>
    <row r="712" spans="7:8" x14ac:dyDescent="0.25">
      <c r="G712" s="6" t="str">
        <f t="shared" si="10"/>
        <v/>
      </c>
      <c r="H712" s="16" t="str">
        <f t="shared" si="11"/>
        <v/>
      </c>
    </row>
    <row r="713" spans="7:8" x14ac:dyDescent="0.25">
      <c r="G713" s="6" t="str">
        <f t="shared" si="10"/>
        <v/>
      </c>
      <c r="H713" s="16" t="str">
        <f t="shared" si="11"/>
        <v/>
      </c>
    </row>
    <row r="714" spans="7:8" x14ac:dyDescent="0.25">
      <c r="G714" s="6" t="str">
        <f t="shared" si="10"/>
        <v/>
      </c>
      <c r="H714" s="16" t="str">
        <f t="shared" si="11"/>
        <v/>
      </c>
    </row>
    <row r="715" spans="7:8" x14ac:dyDescent="0.25">
      <c r="G715" s="6" t="str">
        <f t="shared" si="10"/>
        <v/>
      </c>
      <c r="H715" s="16" t="str">
        <f t="shared" si="11"/>
        <v/>
      </c>
    </row>
    <row r="716" spans="7:8" x14ac:dyDescent="0.25">
      <c r="G716" s="6" t="str">
        <f t="shared" si="10"/>
        <v/>
      </c>
      <c r="H716" s="16" t="str">
        <f t="shared" si="11"/>
        <v/>
      </c>
    </row>
    <row r="717" spans="7:8" x14ac:dyDescent="0.25">
      <c r="G717" s="6" t="str">
        <f t="shared" si="10"/>
        <v/>
      </c>
      <c r="H717" s="16" t="str">
        <f t="shared" si="11"/>
        <v/>
      </c>
    </row>
    <row r="718" spans="7:8" x14ac:dyDescent="0.25">
      <c r="G718" s="6" t="str">
        <f t="shared" si="10"/>
        <v/>
      </c>
      <c r="H718" s="16" t="str">
        <f t="shared" si="11"/>
        <v/>
      </c>
    </row>
    <row r="719" spans="7:8" x14ac:dyDescent="0.25">
      <c r="G719" s="6" t="str">
        <f t="shared" si="10"/>
        <v/>
      </c>
      <c r="H719" s="16" t="str">
        <f t="shared" si="11"/>
        <v/>
      </c>
    </row>
    <row r="720" spans="7:8" x14ac:dyDescent="0.25">
      <c r="G720" s="6" t="str">
        <f t="shared" si="10"/>
        <v/>
      </c>
      <c r="H720" s="16" t="str">
        <f t="shared" si="11"/>
        <v/>
      </c>
    </row>
    <row r="721" spans="7:8" x14ac:dyDescent="0.25">
      <c r="G721" s="6" t="str">
        <f t="shared" si="10"/>
        <v/>
      </c>
      <c r="H721" s="16" t="str">
        <f t="shared" si="11"/>
        <v/>
      </c>
    </row>
    <row r="722" spans="7:8" x14ac:dyDescent="0.25">
      <c r="G722" s="6" t="str">
        <f t="shared" si="10"/>
        <v/>
      </c>
      <c r="H722" s="16" t="str">
        <f t="shared" si="11"/>
        <v/>
      </c>
    </row>
    <row r="723" spans="7:8" x14ac:dyDescent="0.25">
      <c r="G723" s="6" t="str">
        <f t="shared" si="10"/>
        <v/>
      </c>
      <c r="H723" s="16" t="str">
        <f t="shared" si="11"/>
        <v/>
      </c>
    </row>
    <row r="724" spans="7:8" x14ac:dyDescent="0.25">
      <c r="G724" s="6" t="str">
        <f t="shared" si="10"/>
        <v/>
      </c>
      <c r="H724" s="16" t="str">
        <f t="shared" si="11"/>
        <v/>
      </c>
    </row>
    <row r="725" spans="7:8" x14ac:dyDescent="0.25">
      <c r="G725" s="6" t="str">
        <f t="shared" si="10"/>
        <v/>
      </c>
      <c r="H725" s="16" t="str">
        <f t="shared" si="11"/>
        <v/>
      </c>
    </row>
    <row r="726" spans="7:8" x14ac:dyDescent="0.25">
      <c r="G726" s="6" t="str">
        <f t="shared" si="10"/>
        <v/>
      </c>
      <c r="H726" s="16" t="str">
        <f t="shared" si="11"/>
        <v/>
      </c>
    </row>
    <row r="727" spans="7:8" x14ac:dyDescent="0.25">
      <c r="G727" s="6" t="str">
        <f t="shared" si="10"/>
        <v/>
      </c>
      <c r="H727" s="16" t="str">
        <f t="shared" si="11"/>
        <v/>
      </c>
    </row>
    <row r="728" spans="7:8" x14ac:dyDescent="0.25">
      <c r="G728" s="6" t="str">
        <f t="shared" si="10"/>
        <v/>
      </c>
      <c r="H728" s="16" t="str">
        <f t="shared" si="11"/>
        <v/>
      </c>
    </row>
    <row r="729" spans="7:8" x14ac:dyDescent="0.25">
      <c r="G729" s="6" t="str">
        <f t="shared" si="10"/>
        <v/>
      </c>
      <c r="H729" s="16" t="str">
        <f t="shared" si="11"/>
        <v/>
      </c>
    </row>
    <row r="730" spans="7:8" x14ac:dyDescent="0.25">
      <c r="G730" s="6" t="str">
        <f t="shared" si="10"/>
        <v/>
      </c>
      <c r="H730" s="16" t="str">
        <f t="shared" si="11"/>
        <v/>
      </c>
    </row>
    <row r="731" spans="7:8" x14ac:dyDescent="0.25">
      <c r="G731" s="6" t="str">
        <f t="shared" si="10"/>
        <v/>
      </c>
      <c r="H731" s="16" t="str">
        <f t="shared" si="11"/>
        <v/>
      </c>
    </row>
    <row r="732" spans="7:8" x14ac:dyDescent="0.25">
      <c r="G732" s="6" t="str">
        <f t="shared" si="10"/>
        <v/>
      </c>
      <c r="H732" s="16" t="str">
        <f t="shared" si="11"/>
        <v/>
      </c>
    </row>
    <row r="733" spans="7:8" x14ac:dyDescent="0.25">
      <c r="G733" s="6" t="str">
        <f t="shared" si="10"/>
        <v/>
      </c>
      <c r="H733" s="16" t="str">
        <f t="shared" si="11"/>
        <v/>
      </c>
    </row>
    <row r="734" spans="7:8" x14ac:dyDescent="0.25">
      <c r="G734" s="6" t="str">
        <f t="shared" si="10"/>
        <v/>
      </c>
      <c r="H734" s="16" t="str">
        <f t="shared" si="11"/>
        <v/>
      </c>
    </row>
    <row r="735" spans="7:8" x14ac:dyDescent="0.25">
      <c r="G735" s="6" t="str">
        <f t="shared" si="10"/>
        <v/>
      </c>
      <c r="H735" s="16" t="str">
        <f t="shared" si="11"/>
        <v/>
      </c>
    </row>
    <row r="736" spans="7:8" x14ac:dyDescent="0.25">
      <c r="G736" s="6" t="str">
        <f t="shared" si="10"/>
        <v/>
      </c>
      <c r="H736" s="16" t="str">
        <f t="shared" si="11"/>
        <v/>
      </c>
    </row>
    <row r="737" spans="7:8" x14ac:dyDescent="0.25">
      <c r="G737" s="6" t="str">
        <f t="shared" si="10"/>
        <v/>
      </c>
      <c r="H737" s="16" t="str">
        <f t="shared" si="11"/>
        <v/>
      </c>
    </row>
    <row r="738" spans="7:8" x14ac:dyDescent="0.25">
      <c r="G738" s="6" t="str">
        <f t="shared" si="10"/>
        <v/>
      </c>
      <c r="H738" s="16" t="str">
        <f t="shared" si="11"/>
        <v/>
      </c>
    </row>
    <row r="739" spans="7:8" x14ac:dyDescent="0.25">
      <c r="G739" s="6" t="str">
        <f t="shared" si="10"/>
        <v/>
      </c>
      <c r="H739" s="16" t="str">
        <f t="shared" si="11"/>
        <v/>
      </c>
    </row>
    <row r="740" spans="7:8" x14ac:dyDescent="0.25">
      <c r="G740" s="6" t="str">
        <f t="shared" si="10"/>
        <v/>
      </c>
      <c r="H740" s="16" t="str">
        <f t="shared" si="11"/>
        <v/>
      </c>
    </row>
    <row r="741" spans="7:8" x14ac:dyDescent="0.25">
      <c r="G741" s="6" t="str">
        <f t="shared" si="10"/>
        <v/>
      </c>
      <c r="H741" s="16" t="str">
        <f t="shared" si="11"/>
        <v/>
      </c>
    </row>
    <row r="742" spans="7:8" x14ac:dyDescent="0.25">
      <c r="G742" s="6" t="str">
        <f t="shared" si="10"/>
        <v/>
      </c>
      <c r="H742" s="16" t="str">
        <f t="shared" si="11"/>
        <v/>
      </c>
    </row>
    <row r="743" spans="7:8" x14ac:dyDescent="0.25">
      <c r="G743" s="6" t="str">
        <f t="shared" si="10"/>
        <v/>
      </c>
      <c r="H743" s="16" t="str">
        <f t="shared" si="11"/>
        <v/>
      </c>
    </row>
    <row r="744" spans="7:8" x14ac:dyDescent="0.25">
      <c r="G744" s="6" t="str">
        <f t="shared" si="10"/>
        <v/>
      </c>
      <c r="H744" s="16" t="str">
        <f t="shared" si="11"/>
        <v/>
      </c>
    </row>
    <row r="745" spans="7:8" x14ac:dyDescent="0.25">
      <c r="G745" s="6" t="str">
        <f t="shared" si="10"/>
        <v/>
      </c>
      <c r="H745" s="16" t="str">
        <f t="shared" si="11"/>
        <v/>
      </c>
    </row>
    <row r="746" spans="7:8" x14ac:dyDescent="0.25">
      <c r="G746" s="6" t="str">
        <f t="shared" si="10"/>
        <v/>
      </c>
      <c r="H746" s="16" t="str">
        <f t="shared" si="11"/>
        <v/>
      </c>
    </row>
    <row r="747" spans="7:8" x14ac:dyDescent="0.25">
      <c r="G747" s="6" t="str">
        <f t="shared" si="10"/>
        <v/>
      </c>
      <c r="H747" s="16" t="str">
        <f t="shared" si="11"/>
        <v/>
      </c>
    </row>
    <row r="748" spans="7:8" x14ac:dyDescent="0.25">
      <c r="G748" s="6" t="str">
        <f t="shared" si="10"/>
        <v/>
      </c>
      <c r="H748" s="16" t="str">
        <f t="shared" si="11"/>
        <v/>
      </c>
    </row>
    <row r="749" spans="7:8" x14ac:dyDescent="0.25">
      <c r="G749" s="6" t="str">
        <f t="shared" si="10"/>
        <v/>
      </c>
      <c r="H749" s="16" t="str">
        <f t="shared" si="11"/>
        <v/>
      </c>
    </row>
    <row r="750" spans="7:8" x14ac:dyDescent="0.25">
      <c r="G750" s="6" t="str">
        <f t="shared" si="10"/>
        <v/>
      </c>
      <c r="H750" s="16" t="str">
        <f t="shared" si="11"/>
        <v/>
      </c>
    </row>
    <row r="751" spans="7:8" x14ac:dyDescent="0.25">
      <c r="G751" s="6" t="str">
        <f t="shared" si="10"/>
        <v/>
      </c>
      <c r="H751" s="16" t="str">
        <f t="shared" si="11"/>
        <v/>
      </c>
    </row>
    <row r="752" spans="7:8" x14ac:dyDescent="0.25">
      <c r="G752" s="6" t="str">
        <f t="shared" si="10"/>
        <v/>
      </c>
      <c r="H752" s="16" t="str">
        <f t="shared" si="11"/>
        <v/>
      </c>
    </row>
    <row r="753" spans="7:8" x14ac:dyDescent="0.25">
      <c r="G753" s="6" t="str">
        <f t="shared" si="10"/>
        <v/>
      </c>
      <c r="H753" s="16" t="str">
        <f t="shared" si="11"/>
        <v/>
      </c>
    </row>
    <row r="754" spans="7:8" x14ac:dyDescent="0.25">
      <c r="G754" s="6" t="str">
        <f t="shared" si="10"/>
        <v/>
      </c>
      <c r="H754" s="16" t="str">
        <f t="shared" si="11"/>
        <v/>
      </c>
    </row>
    <row r="755" spans="7:8" x14ac:dyDescent="0.25">
      <c r="G755" s="6" t="str">
        <f t="shared" si="10"/>
        <v/>
      </c>
      <c r="H755" s="16" t="str">
        <f t="shared" si="11"/>
        <v/>
      </c>
    </row>
    <row r="756" spans="7:8" x14ac:dyDescent="0.25">
      <c r="G756" s="6" t="str">
        <f t="shared" si="10"/>
        <v/>
      </c>
      <c r="H756" s="16" t="str">
        <f t="shared" si="11"/>
        <v/>
      </c>
    </row>
    <row r="757" spans="7:8" x14ac:dyDescent="0.25">
      <c r="G757" s="6" t="str">
        <f t="shared" si="10"/>
        <v/>
      </c>
      <c r="H757" s="16" t="str">
        <f t="shared" si="11"/>
        <v/>
      </c>
    </row>
    <row r="758" spans="7:8" x14ac:dyDescent="0.25">
      <c r="G758" s="6" t="str">
        <f t="shared" si="10"/>
        <v/>
      </c>
      <c r="H758" s="16" t="str">
        <f t="shared" si="11"/>
        <v/>
      </c>
    </row>
    <row r="759" spans="7:8" x14ac:dyDescent="0.25">
      <c r="G759" s="6" t="str">
        <f t="shared" si="10"/>
        <v/>
      </c>
      <c r="H759" s="16" t="str">
        <f t="shared" si="11"/>
        <v/>
      </c>
    </row>
    <row r="760" spans="7:8" x14ac:dyDescent="0.25">
      <c r="G760" s="6" t="str">
        <f t="shared" si="10"/>
        <v/>
      </c>
      <c r="H760" s="16" t="str">
        <f t="shared" si="11"/>
        <v/>
      </c>
    </row>
    <row r="761" spans="7:8" x14ac:dyDescent="0.25">
      <c r="G761" s="6" t="str">
        <f t="shared" si="10"/>
        <v/>
      </c>
      <c r="H761" s="16" t="str">
        <f t="shared" si="11"/>
        <v/>
      </c>
    </row>
    <row r="762" spans="7:8" x14ac:dyDescent="0.25">
      <c r="G762" s="6" t="str">
        <f t="shared" si="10"/>
        <v/>
      </c>
      <c r="H762" s="16" t="str">
        <f t="shared" si="11"/>
        <v/>
      </c>
    </row>
    <row r="763" spans="7:8" x14ac:dyDescent="0.25">
      <c r="G763" s="6" t="str">
        <f t="shared" si="10"/>
        <v/>
      </c>
      <c r="H763" s="16" t="str">
        <f t="shared" si="11"/>
        <v/>
      </c>
    </row>
    <row r="764" spans="7:8" x14ac:dyDescent="0.25">
      <c r="G764" s="6" t="str">
        <f t="shared" si="10"/>
        <v/>
      </c>
      <c r="H764" s="16" t="str">
        <f t="shared" si="11"/>
        <v/>
      </c>
    </row>
    <row r="765" spans="7:8" x14ac:dyDescent="0.25">
      <c r="G765" s="6" t="str">
        <f t="shared" si="10"/>
        <v/>
      </c>
      <c r="H765" s="16" t="str">
        <f t="shared" si="11"/>
        <v/>
      </c>
    </row>
    <row r="766" spans="7:8" x14ac:dyDescent="0.25">
      <c r="G766" s="6" t="str">
        <f t="shared" si="10"/>
        <v/>
      </c>
      <c r="H766" s="16" t="str">
        <f t="shared" si="11"/>
        <v/>
      </c>
    </row>
    <row r="767" spans="7:8" x14ac:dyDescent="0.25">
      <c r="G767" s="6" t="str">
        <f t="shared" si="10"/>
        <v/>
      </c>
      <c r="H767" s="16" t="str">
        <f t="shared" si="11"/>
        <v/>
      </c>
    </row>
    <row r="768" spans="7:8" x14ac:dyDescent="0.25">
      <c r="G768" s="6" t="str">
        <f t="shared" si="10"/>
        <v/>
      </c>
      <c r="H768" s="16" t="str">
        <f t="shared" si="11"/>
        <v/>
      </c>
    </row>
    <row r="769" spans="7:8" x14ac:dyDescent="0.25">
      <c r="G769" s="6" t="str">
        <f t="shared" si="10"/>
        <v/>
      </c>
      <c r="H769" s="16" t="str">
        <f t="shared" si="11"/>
        <v/>
      </c>
    </row>
    <row r="770" spans="7:8" x14ac:dyDescent="0.25">
      <c r="G770" s="6" t="str">
        <f t="shared" si="10"/>
        <v/>
      </c>
      <c r="H770" s="16" t="str">
        <f t="shared" si="11"/>
        <v/>
      </c>
    </row>
    <row r="771" spans="7:8" x14ac:dyDescent="0.25">
      <c r="G771" s="6" t="str">
        <f t="shared" ref="G771:G834" si="12">IF(F771 = "n", "NA", "")</f>
        <v/>
      </c>
      <c r="H771" s="16" t="str">
        <f t="shared" ref="H771:H834" si="13">IF(G771 = "y", "NA", "")</f>
        <v/>
      </c>
    </row>
    <row r="772" spans="7:8" x14ac:dyDescent="0.25">
      <c r="G772" s="6" t="str">
        <f t="shared" si="12"/>
        <v/>
      </c>
      <c r="H772" s="16" t="str">
        <f t="shared" si="13"/>
        <v/>
      </c>
    </row>
    <row r="773" spans="7:8" x14ac:dyDescent="0.25">
      <c r="G773" s="6" t="str">
        <f t="shared" si="12"/>
        <v/>
      </c>
      <c r="H773" s="16" t="str">
        <f t="shared" si="13"/>
        <v/>
      </c>
    </row>
    <row r="774" spans="7:8" x14ac:dyDescent="0.25">
      <c r="G774" s="6" t="str">
        <f t="shared" si="12"/>
        <v/>
      </c>
      <c r="H774" s="16" t="str">
        <f t="shared" si="13"/>
        <v/>
      </c>
    </row>
    <row r="775" spans="7:8" x14ac:dyDescent="0.25">
      <c r="G775" s="6" t="str">
        <f t="shared" si="12"/>
        <v/>
      </c>
      <c r="H775" s="16" t="str">
        <f t="shared" si="13"/>
        <v/>
      </c>
    </row>
    <row r="776" spans="7:8" x14ac:dyDescent="0.25">
      <c r="G776" s="6" t="str">
        <f t="shared" si="12"/>
        <v/>
      </c>
      <c r="H776" s="16" t="str">
        <f t="shared" si="13"/>
        <v/>
      </c>
    </row>
    <row r="777" spans="7:8" x14ac:dyDescent="0.25">
      <c r="G777" s="6" t="str">
        <f t="shared" si="12"/>
        <v/>
      </c>
      <c r="H777" s="16" t="str">
        <f t="shared" si="13"/>
        <v/>
      </c>
    </row>
    <row r="778" spans="7:8" x14ac:dyDescent="0.25">
      <c r="G778" s="6" t="str">
        <f t="shared" si="12"/>
        <v/>
      </c>
      <c r="H778" s="16" t="str">
        <f t="shared" si="13"/>
        <v/>
      </c>
    </row>
    <row r="779" spans="7:8" x14ac:dyDescent="0.25">
      <c r="G779" s="6" t="str">
        <f t="shared" si="12"/>
        <v/>
      </c>
      <c r="H779" s="16" t="str">
        <f t="shared" si="13"/>
        <v/>
      </c>
    </row>
    <row r="780" spans="7:8" x14ac:dyDescent="0.25">
      <c r="G780" s="6" t="str">
        <f t="shared" si="12"/>
        <v/>
      </c>
      <c r="H780" s="16" t="str">
        <f t="shared" si="13"/>
        <v/>
      </c>
    </row>
    <row r="781" spans="7:8" x14ac:dyDescent="0.25">
      <c r="G781" s="6" t="str">
        <f t="shared" si="12"/>
        <v/>
      </c>
      <c r="H781" s="16" t="str">
        <f t="shared" si="13"/>
        <v/>
      </c>
    </row>
    <row r="782" spans="7:8" x14ac:dyDescent="0.25">
      <c r="G782" s="6" t="str">
        <f t="shared" si="12"/>
        <v/>
      </c>
      <c r="H782" s="16" t="str">
        <f t="shared" si="13"/>
        <v/>
      </c>
    </row>
    <row r="783" spans="7:8" x14ac:dyDescent="0.25">
      <c r="G783" s="6" t="str">
        <f t="shared" si="12"/>
        <v/>
      </c>
      <c r="H783" s="16" t="str">
        <f t="shared" si="13"/>
        <v/>
      </c>
    </row>
    <row r="784" spans="7:8" x14ac:dyDescent="0.25">
      <c r="G784" s="6" t="str">
        <f t="shared" si="12"/>
        <v/>
      </c>
      <c r="H784" s="16" t="str">
        <f t="shared" si="13"/>
        <v/>
      </c>
    </row>
    <row r="785" spans="7:8" x14ac:dyDescent="0.25">
      <c r="G785" s="6" t="str">
        <f t="shared" si="12"/>
        <v/>
      </c>
      <c r="H785" s="16" t="str">
        <f t="shared" si="13"/>
        <v/>
      </c>
    </row>
    <row r="786" spans="7:8" x14ac:dyDescent="0.25">
      <c r="G786" s="6" t="str">
        <f t="shared" si="12"/>
        <v/>
      </c>
      <c r="H786" s="16" t="str">
        <f t="shared" si="13"/>
        <v/>
      </c>
    </row>
    <row r="787" spans="7:8" x14ac:dyDescent="0.25">
      <c r="G787" s="6" t="str">
        <f t="shared" si="12"/>
        <v/>
      </c>
      <c r="H787" s="16" t="str">
        <f t="shared" si="13"/>
        <v/>
      </c>
    </row>
    <row r="788" spans="7:8" x14ac:dyDescent="0.25">
      <c r="G788" s="6" t="str">
        <f t="shared" si="12"/>
        <v/>
      </c>
      <c r="H788" s="16" t="str">
        <f t="shared" si="13"/>
        <v/>
      </c>
    </row>
    <row r="789" spans="7:8" x14ac:dyDescent="0.25">
      <c r="G789" s="6" t="str">
        <f t="shared" si="12"/>
        <v/>
      </c>
      <c r="H789" s="16" t="str">
        <f t="shared" si="13"/>
        <v/>
      </c>
    </row>
    <row r="790" spans="7:8" x14ac:dyDescent="0.25">
      <c r="G790" s="6" t="str">
        <f t="shared" si="12"/>
        <v/>
      </c>
      <c r="H790" s="16" t="str">
        <f t="shared" si="13"/>
        <v/>
      </c>
    </row>
    <row r="791" spans="7:8" x14ac:dyDescent="0.25">
      <c r="G791" s="6" t="str">
        <f t="shared" si="12"/>
        <v/>
      </c>
      <c r="H791" s="16" t="str">
        <f t="shared" si="13"/>
        <v/>
      </c>
    </row>
    <row r="792" spans="7:8" x14ac:dyDescent="0.25">
      <c r="G792" s="6" t="str">
        <f t="shared" si="12"/>
        <v/>
      </c>
      <c r="H792" s="16" t="str">
        <f t="shared" si="13"/>
        <v/>
      </c>
    </row>
    <row r="793" spans="7:8" x14ac:dyDescent="0.25">
      <c r="G793" s="6" t="str">
        <f t="shared" si="12"/>
        <v/>
      </c>
      <c r="H793" s="16" t="str">
        <f t="shared" si="13"/>
        <v/>
      </c>
    </row>
    <row r="794" spans="7:8" x14ac:dyDescent="0.25">
      <c r="G794" s="6" t="str">
        <f t="shared" si="12"/>
        <v/>
      </c>
      <c r="H794" s="16" t="str">
        <f t="shared" si="13"/>
        <v/>
      </c>
    </row>
    <row r="795" spans="7:8" x14ac:dyDescent="0.25">
      <c r="G795" s="6" t="str">
        <f t="shared" si="12"/>
        <v/>
      </c>
      <c r="H795" s="16" t="str">
        <f t="shared" si="13"/>
        <v/>
      </c>
    </row>
    <row r="796" spans="7:8" x14ac:dyDescent="0.25">
      <c r="G796" s="6" t="str">
        <f t="shared" si="12"/>
        <v/>
      </c>
      <c r="H796" s="16" t="str">
        <f t="shared" si="13"/>
        <v/>
      </c>
    </row>
    <row r="797" spans="7:8" x14ac:dyDescent="0.25">
      <c r="G797" s="6" t="str">
        <f t="shared" si="12"/>
        <v/>
      </c>
      <c r="H797" s="16" t="str">
        <f t="shared" si="13"/>
        <v/>
      </c>
    </row>
    <row r="798" spans="7:8" x14ac:dyDescent="0.25">
      <c r="G798" s="6" t="str">
        <f t="shared" si="12"/>
        <v/>
      </c>
      <c r="H798" s="16" t="str">
        <f t="shared" si="13"/>
        <v/>
      </c>
    </row>
    <row r="799" spans="7:8" x14ac:dyDescent="0.25">
      <c r="G799" s="6" t="str">
        <f t="shared" si="12"/>
        <v/>
      </c>
      <c r="H799" s="16" t="str">
        <f t="shared" si="13"/>
        <v/>
      </c>
    </row>
    <row r="800" spans="7:8" x14ac:dyDescent="0.25">
      <c r="G800" s="6" t="str">
        <f t="shared" si="12"/>
        <v/>
      </c>
      <c r="H800" s="16" t="str">
        <f t="shared" si="13"/>
        <v/>
      </c>
    </row>
    <row r="801" spans="7:8" x14ac:dyDescent="0.25">
      <c r="G801" s="6" t="str">
        <f t="shared" si="12"/>
        <v/>
      </c>
      <c r="H801" s="16" t="str">
        <f t="shared" si="13"/>
        <v/>
      </c>
    </row>
    <row r="802" spans="7:8" x14ac:dyDescent="0.25">
      <c r="G802" s="6" t="str">
        <f t="shared" si="12"/>
        <v/>
      </c>
      <c r="H802" s="16" t="str">
        <f t="shared" si="13"/>
        <v/>
      </c>
    </row>
    <row r="803" spans="7:8" x14ac:dyDescent="0.25">
      <c r="G803" s="6" t="str">
        <f t="shared" si="12"/>
        <v/>
      </c>
      <c r="H803" s="16" t="str">
        <f t="shared" si="13"/>
        <v/>
      </c>
    </row>
    <row r="804" spans="7:8" x14ac:dyDescent="0.25">
      <c r="G804" s="6" t="str">
        <f t="shared" si="12"/>
        <v/>
      </c>
      <c r="H804" s="16" t="str">
        <f t="shared" si="13"/>
        <v/>
      </c>
    </row>
    <row r="805" spans="7:8" x14ac:dyDescent="0.25">
      <c r="G805" s="6" t="str">
        <f t="shared" si="12"/>
        <v/>
      </c>
      <c r="H805" s="16" t="str">
        <f t="shared" si="13"/>
        <v/>
      </c>
    </row>
    <row r="806" spans="7:8" x14ac:dyDescent="0.25">
      <c r="G806" s="6" t="str">
        <f t="shared" si="12"/>
        <v/>
      </c>
      <c r="H806" s="16" t="str">
        <f t="shared" si="13"/>
        <v/>
      </c>
    </row>
    <row r="807" spans="7:8" x14ac:dyDescent="0.25">
      <c r="G807" s="6" t="str">
        <f t="shared" si="12"/>
        <v/>
      </c>
      <c r="H807" s="16" t="str">
        <f t="shared" si="13"/>
        <v/>
      </c>
    </row>
    <row r="808" spans="7:8" x14ac:dyDescent="0.25">
      <c r="G808" s="6" t="str">
        <f t="shared" si="12"/>
        <v/>
      </c>
      <c r="H808" s="16" t="str">
        <f t="shared" si="13"/>
        <v/>
      </c>
    </row>
    <row r="809" spans="7:8" x14ac:dyDescent="0.25">
      <c r="G809" s="6" t="str">
        <f t="shared" si="12"/>
        <v/>
      </c>
      <c r="H809" s="16" t="str">
        <f t="shared" si="13"/>
        <v/>
      </c>
    </row>
    <row r="810" spans="7:8" x14ac:dyDescent="0.25">
      <c r="G810" s="6" t="str">
        <f t="shared" si="12"/>
        <v/>
      </c>
      <c r="H810" s="16" t="str">
        <f t="shared" si="13"/>
        <v/>
      </c>
    </row>
    <row r="811" spans="7:8" x14ac:dyDescent="0.25">
      <c r="G811" s="6" t="str">
        <f t="shared" si="12"/>
        <v/>
      </c>
      <c r="H811" s="16" t="str">
        <f t="shared" si="13"/>
        <v/>
      </c>
    </row>
    <row r="812" spans="7:8" x14ac:dyDescent="0.25">
      <c r="G812" s="6" t="str">
        <f t="shared" si="12"/>
        <v/>
      </c>
      <c r="H812" s="16" t="str">
        <f t="shared" si="13"/>
        <v/>
      </c>
    </row>
    <row r="813" spans="7:8" x14ac:dyDescent="0.25">
      <c r="G813" s="6" t="str">
        <f t="shared" si="12"/>
        <v/>
      </c>
      <c r="H813" s="16" t="str">
        <f t="shared" si="13"/>
        <v/>
      </c>
    </row>
    <row r="814" spans="7:8" x14ac:dyDescent="0.25">
      <c r="G814" s="6" t="str">
        <f t="shared" si="12"/>
        <v/>
      </c>
      <c r="H814" s="16" t="str">
        <f t="shared" si="13"/>
        <v/>
      </c>
    </row>
    <row r="815" spans="7:8" x14ac:dyDescent="0.25">
      <c r="G815" s="6" t="str">
        <f t="shared" si="12"/>
        <v/>
      </c>
      <c r="H815" s="16" t="str">
        <f t="shared" si="13"/>
        <v/>
      </c>
    </row>
    <row r="816" spans="7:8" x14ac:dyDescent="0.25">
      <c r="G816" s="6" t="str">
        <f t="shared" si="12"/>
        <v/>
      </c>
      <c r="H816" s="16" t="str">
        <f t="shared" si="13"/>
        <v/>
      </c>
    </row>
    <row r="817" spans="7:8" x14ac:dyDescent="0.25">
      <c r="G817" s="6" t="str">
        <f t="shared" si="12"/>
        <v/>
      </c>
      <c r="H817" s="16" t="str">
        <f t="shared" si="13"/>
        <v/>
      </c>
    </row>
    <row r="818" spans="7:8" x14ac:dyDescent="0.25">
      <c r="G818" s="6" t="str">
        <f t="shared" si="12"/>
        <v/>
      </c>
      <c r="H818" s="16" t="str">
        <f t="shared" si="13"/>
        <v/>
      </c>
    </row>
    <row r="819" spans="7:8" x14ac:dyDescent="0.25">
      <c r="G819" s="6" t="str">
        <f t="shared" si="12"/>
        <v/>
      </c>
      <c r="H819" s="16" t="str">
        <f t="shared" si="13"/>
        <v/>
      </c>
    </row>
    <row r="820" spans="7:8" x14ac:dyDescent="0.25">
      <c r="G820" s="6" t="str">
        <f t="shared" si="12"/>
        <v/>
      </c>
      <c r="H820" s="16" t="str">
        <f t="shared" si="13"/>
        <v/>
      </c>
    </row>
    <row r="821" spans="7:8" x14ac:dyDescent="0.25">
      <c r="G821" s="6" t="str">
        <f t="shared" si="12"/>
        <v/>
      </c>
      <c r="H821" s="16" t="str">
        <f t="shared" si="13"/>
        <v/>
      </c>
    </row>
    <row r="822" spans="7:8" x14ac:dyDescent="0.25">
      <c r="G822" s="6" t="str">
        <f t="shared" si="12"/>
        <v/>
      </c>
      <c r="H822" s="16" t="str">
        <f t="shared" si="13"/>
        <v/>
      </c>
    </row>
    <row r="823" spans="7:8" x14ac:dyDescent="0.25">
      <c r="G823" s="6" t="str">
        <f t="shared" si="12"/>
        <v/>
      </c>
      <c r="H823" s="16" t="str">
        <f t="shared" si="13"/>
        <v/>
      </c>
    </row>
    <row r="824" spans="7:8" x14ac:dyDescent="0.25">
      <c r="G824" s="6" t="str">
        <f t="shared" si="12"/>
        <v/>
      </c>
      <c r="H824" s="16" t="str">
        <f t="shared" si="13"/>
        <v/>
      </c>
    </row>
    <row r="825" spans="7:8" x14ac:dyDescent="0.25">
      <c r="G825" s="6" t="str">
        <f t="shared" si="12"/>
        <v/>
      </c>
      <c r="H825" s="16" t="str">
        <f t="shared" si="13"/>
        <v/>
      </c>
    </row>
    <row r="826" spans="7:8" x14ac:dyDescent="0.25">
      <c r="G826" s="6" t="str">
        <f t="shared" si="12"/>
        <v/>
      </c>
      <c r="H826" s="16" t="str">
        <f t="shared" si="13"/>
        <v/>
      </c>
    </row>
    <row r="827" spans="7:8" x14ac:dyDescent="0.25">
      <c r="G827" s="6" t="str">
        <f t="shared" si="12"/>
        <v/>
      </c>
      <c r="H827" s="16" t="str">
        <f t="shared" si="13"/>
        <v/>
      </c>
    </row>
    <row r="828" spans="7:8" x14ac:dyDescent="0.25">
      <c r="G828" s="6" t="str">
        <f t="shared" si="12"/>
        <v/>
      </c>
      <c r="H828" s="16" t="str">
        <f t="shared" si="13"/>
        <v/>
      </c>
    </row>
    <row r="829" spans="7:8" x14ac:dyDescent="0.25">
      <c r="G829" s="6" t="str">
        <f t="shared" si="12"/>
        <v/>
      </c>
      <c r="H829" s="16" t="str">
        <f t="shared" si="13"/>
        <v/>
      </c>
    </row>
    <row r="830" spans="7:8" x14ac:dyDescent="0.25">
      <c r="G830" s="6" t="str">
        <f t="shared" si="12"/>
        <v/>
      </c>
      <c r="H830" s="16" t="str">
        <f t="shared" si="13"/>
        <v/>
      </c>
    </row>
    <row r="831" spans="7:8" x14ac:dyDescent="0.25">
      <c r="G831" s="6" t="str">
        <f t="shared" si="12"/>
        <v/>
      </c>
      <c r="H831" s="16" t="str">
        <f t="shared" si="13"/>
        <v/>
      </c>
    </row>
    <row r="832" spans="7:8" x14ac:dyDescent="0.25">
      <c r="G832" s="6" t="str">
        <f t="shared" si="12"/>
        <v/>
      </c>
      <c r="H832" s="16" t="str">
        <f t="shared" si="13"/>
        <v/>
      </c>
    </row>
    <row r="833" spans="7:8" x14ac:dyDescent="0.25">
      <c r="G833" s="6" t="str">
        <f t="shared" si="12"/>
        <v/>
      </c>
      <c r="H833" s="16" t="str">
        <f t="shared" si="13"/>
        <v/>
      </c>
    </row>
    <row r="834" spans="7:8" x14ac:dyDescent="0.25">
      <c r="G834" s="6" t="str">
        <f t="shared" si="12"/>
        <v/>
      </c>
      <c r="H834" s="16" t="str">
        <f t="shared" si="13"/>
        <v/>
      </c>
    </row>
    <row r="835" spans="7:8" x14ac:dyDescent="0.25">
      <c r="G835" s="6" t="str">
        <f t="shared" ref="G835:G898" si="14">IF(F835 = "n", "NA", "")</f>
        <v/>
      </c>
      <c r="H835" s="16" t="str">
        <f t="shared" ref="H835:H898" si="15">IF(G835 = "y", "NA", "")</f>
        <v/>
      </c>
    </row>
    <row r="836" spans="7:8" x14ac:dyDescent="0.25">
      <c r="G836" s="6" t="str">
        <f t="shared" si="14"/>
        <v/>
      </c>
      <c r="H836" s="16" t="str">
        <f t="shared" si="15"/>
        <v/>
      </c>
    </row>
    <row r="837" spans="7:8" x14ac:dyDescent="0.25">
      <c r="G837" s="6" t="str">
        <f t="shared" si="14"/>
        <v/>
      </c>
      <c r="H837" s="16" t="str">
        <f t="shared" si="15"/>
        <v/>
      </c>
    </row>
    <row r="838" spans="7:8" x14ac:dyDescent="0.25">
      <c r="G838" s="6" t="str">
        <f t="shared" si="14"/>
        <v/>
      </c>
      <c r="H838" s="16" t="str">
        <f t="shared" si="15"/>
        <v/>
      </c>
    </row>
    <row r="839" spans="7:8" x14ac:dyDescent="0.25">
      <c r="G839" s="6" t="str">
        <f t="shared" si="14"/>
        <v/>
      </c>
      <c r="H839" s="16" t="str">
        <f t="shared" si="15"/>
        <v/>
      </c>
    </row>
    <row r="840" spans="7:8" x14ac:dyDescent="0.25">
      <c r="G840" s="6" t="str">
        <f t="shared" si="14"/>
        <v/>
      </c>
      <c r="H840" s="16" t="str">
        <f t="shared" si="15"/>
        <v/>
      </c>
    </row>
    <row r="841" spans="7:8" x14ac:dyDescent="0.25">
      <c r="G841" s="6" t="str">
        <f t="shared" si="14"/>
        <v/>
      </c>
      <c r="H841" s="16" t="str">
        <f t="shared" si="15"/>
        <v/>
      </c>
    </row>
    <row r="842" spans="7:8" x14ac:dyDescent="0.25">
      <c r="G842" s="6" t="str">
        <f t="shared" si="14"/>
        <v/>
      </c>
      <c r="H842" s="16" t="str">
        <f t="shared" si="15"/>
        <v/>
      </c>
    </row>
    <row r="843" spans="7:8" x14ac:dyDescent="0.25">
      <c r="G843" s="6" t="str">
        <f t="shared" si="14"/>
        <v/>
      </c>
      <c r="H843" s="16" t="str">
        <f t="shared" si="15"/>
        <v/>
      </c>
    </row>
    <row r="844" spans="7:8" x14ac:dyDescent="0.25">
      <c r="G844" s="6" t="str">
        <f t="shared" si="14"/>
        <v/>
      </c>
      <c r="H844" s="16" t="str">
        <f t="shared" si="15"/>
        <v/>
      </c>
    </row>
    <row r="845" spans="7:8" x14ac:dyDescent="0.25">
      <c r="G845" s="6" t="str">
        <f t="shared" si="14"/>
        <v/>
      </c>
      <c r="H845" s="16" t="str">
        <f t="shared" si="15"/>
        <v/>
      </c>
    </row>
    <row r="846" spans="7:8" x14ac:dyDescent="0.25">
      <c r="G846" s="6" t="str">
        <f t="shared" si="14"/>
        <v/>
      </c>
      <c r="H846" s="16" t="str">
        <f t="shared" si="15"/>
        <v/>
      </c>
    </row>
    <row r="847" spans="7:8" x14ac:dyDescent="0.25">
      <c r="G847" s="6" t="str">
        <f t="shared" si="14"/>
        <v/>
      </c>
      <c r="H847" s="16" t="str">
        <f t="shared" si="15"/>
        <v/>
      </c>
    </row>
    <row r="848" spans="7:8" x14ac:dyDescent="0.25">
      <c r="G848" s="6" t="str">
        <f t="shared" si="14"/>
        <v/>
      </c>
      <c r="H848" s="16" t="str">
        <f t="shared" si="15"/>
        <v/>
      </c>
    </row>
    <row r="849" spans="7:8" x14ac:dyDescent="0.25">
      <c r="G849" s="6" t="str">
        <f t="shared" si="14"/>
        <v/>
      </c>
      <c r="H849" s="16" t="str">
        <f t="shared" si="15"/>
        <v/>
      </c>
    </row>
    <row r="850" spans="7:8" x14ac:dyDescent="0.25">
      <c r="G850" s="6" t="str">
        <f t="shared" si="14"/>
        <v/>
      </c>
      <c r="H850" s="16" t="str">
        <f t="shared" si="15"/>
        <v/>
      </c>
    </row>
    <row r="851" spans="7:8" x14ac:dyDescent="0.25">
      <c r="G851" s="6" t="str">
        <f t="shared" si="14"/>
        <v/>
      </c>
      <c r="H851" s="16" t="str">
        <f t="shared" si="15"/>
        <v/>
      </c>
    </row>
    <row r="852" spans="7:8" x14ac:dyDescent="0.25">
      <c r="G852" s="6" t="str">
        <f t="shared" si="14"/>
        <v/>
      </c>
      <c r="H852" s="16" t="str">
        <f t="shared" si="15"/>
        <v/>
      </c>
    </row>
    <row r="853" spans="7:8" x14ac:dyDescent="0.25">
      <c r="G853" s="6" t="str">
        <f t="shared" si="14"/>
        <v/>
      </c>
      <c r="H853" s="16" t="str">
        <f t="shared" si="15"/>
        <v/>
      </c>
    </row>
    <row r="854" spans="7:8" x14ac:dyDescent="0.25">
      <c r="G854" s="6" t="str">
        <f t="shared" si="14"/>
        <v/>
      </c>
      <c r="H854" s="16" t="str">
        <f t="shared" si="15"/>
        <v/>
      </c>
    </row>
    <row r="855" spans="7:8" x14ac:dyDescent="0.25">
      <c r="G855" s="6" t="str">
        <f t="shared" si="14"/>
        <v/>
      </c>
      <c r="H855" s="16" t="str">
        <f t="shared" si="15"/>
        <v/>
      </c>
    </row>
    <row r="856" spans="7:8" x14ac:dyDescent="0.25">
      <c r="G856" s="6" t="str">
        <f t="shared" si="14"/>
        <v/>
      </c>
      <c r="H856" s="16" t="str">
        <f t="shared" si="15"/>
        <v/>
      </c>
    </row>
    <row r="857" spans="7:8" x14ac:dyDescent="0.25">
      <c r="G857" s="6" t="str">
        <f t="shared" si="14"/>
        <v/>
      </c>
      <c r="H857" s="16" t="str">
        <f t="shared" si="15"/>
        <v/>
      </c>
    </row>
    <row r="858" spans="7:8" x14ac:dyDescent="0.25">
      <c r="G858" s="6" t="str">
        <f t="shared" si="14"/>
        <v/>
      </c>
      <c r="H858" s="16" t="str">
        <f t="shared" si="15"/>
        <v/>
      </c>
    </row>
    <row r="859" spans="7:8" x14ac:dyDescent="0.25">
      <c r="G859" s="6" t="str">
        <f t="shared" si="14"/>
        <v/>
      </c>
      <c r="H859" s="16" t="str">
        <f t="shared" si="15"/>
        <v/>
      </c>
    </row>
    <row r="860" spans="7:8" x14ac:dyDescent="0.25">
      <c r="G860" s="6" t="str">
        <f t="shared" si="14"/>
        <v/>
      </c>
      <c r="H860" s="16" t="str">
        <f t="shared" si="15"/>
        <v/>
      </c>
    </row>
    <row r="861" spans="7:8" x14ac:dyDescent="0.25">
      <c r="G861" s="6" t="str">
        <f t="shared" si="14"/>
        <v/>
      </c>
      <c r="H861" s="16" t="str">
        <f t="shared" si="15"/>
        <v/>
      </c>
    </row>
    <row r="862" spans="7:8" x14ac:dyDescent="0.25">
      <c r="G862" s="6" t="str">
        <f t="shared" si="14"/>
        <v/>
      </c>
      <c r="H862" s="16" t="str">
        <f t="shared" si="15"/>
        <v/>
      </c>
    </row>
    <row r="863" spans="7:8" x14ac:dyDescent="0.25">
      <c r="G863" s="6" t="str">
        <f t="shared" si="14"/>
        <v/>
      </c>
      <c r="H863" s="16" t="str">
        <f t="shared" si="15"/>
        <v/>
      </c>
    </row>
    <row r="864" spans="7:8" x14ac:dyDescent="0.25">
      <c r="G864" s="6" t="str">
        <f t="shared" si="14"/>
        <v/>
      </c>
      <c r="H864" s="16" t="str">
        <f t="shared" si="15"/>
        <v/>
      </c>
    </row>
    <row r="865" spans="7:8" x14ac:dyDescent="0.25">
      <c r="G865" s="6" t="str">
        <f t="shared" si="14"/>
        <v/>
      </c>
      <c r="H865" s="16" t="str">
        <f t="shared" si="15"/>
        <v/>
      </c>
    </row>
    <row r="866" spans="7:8" x14ac:dyDescent="0.25">
      <c r="G866" s="6" t="str">
        <f t="shared" si="14"/>
        <v/>
      </c>
      <c r="H866" s="16" t="str">
        <f t="shared" si="15"/>
        <v/>
      </c>
    </row>
    <row r="867" spans="7:8" x14ac:dyDescent="0.25">
      <c r="G867" s="6" t="str">
        <f t="shared" si="14"/>
        <v/>
      </c>
      <c r="H867" s="16" t="str">
        <f t="shared" si="15"/>
        <v/>
      </c>
    </row>
    <row r="868" spans="7:8" x14ac:dyDescent="0.25">
      <c r="G868" s="6" t="str">
        <f t="shared" si="14"/>
        <v/>
      </c>
      <c r="H868" s="16" t="str">
        <f t="shared" si="15"/>
        <v/>
      </c>
    </row>
    <row r="869" spans="7:8" x14ac:dyDescent="0.25">
      <c r="G869" s="6" t="str">
        <f t="shared" si="14"/>
        <v/>
      </c>
      <c r="H869" s="16" t="str">
        <f t="shared" si="15"/>
        <v/>
      </c>
    </row>
    <row r="870" spans="7:8" x14ac:dyDescent="0.25">
      <c r="G870" s="6" t="str">
        <f t="shared" si="14"/>
        <v/>
      </c>
      <c r="H870" s="16" t="str">
        <f t="shared" si="15"/>
        <v/>
      </c>
    </row>
    <row r="871" spans="7:8" x14ac:dyDescent="0.25">
      <c r="G871" s="6" t="str">
        <f t="shared" si="14"/>
        <v/>
      </c>
      <c r="H871" s="16" t="str">
        <f t="shared" si="15"/>
        <v/>
      </c>
    </row>
    <row r="872" spans="7:8" x14ac:dyDescent="0.25">
      <c r="G872" s="6" t="str">
        <f t="shared" si="14"/>
        <v/>
      </c>
      <c r="H872" s="16" t="str">
        <f t="shared" si="15"/>
        <v/>
      </c>
    </row>
    <row r="873" spans="7:8" x14ac:dyDescent="0.25">
      <c r="G873" s="6" t="str">
        <f t="shared" si="14"/>
        <v/>
      </c>
      <c r="H873" s="16" t="str">
        <f t="shared" si="15"/>
        <v/>
      </c>
    </row>
    <row r="874" spans="7:8" x14ac:dyDescent="0.25">
      <c r="G874" s="6" t="str">
        <f t="shared" si="14"/>
        <v/>
      </c>
      <c r="H874" s="16" t="str">
        <f t="shared" si="15"/>
        <v/>
      </c>
    </row>
    <row r="875" spans="7:8" x14ac:dyDescent="0.25">
      <c r="G875" s="6" t="str">
        <f t="shared" si="14"/>
        <v/>
      </c>
      <c r="H875" s="16" t="str">
        <f t="shared" si="15"/>
        <v/>
      </c>
    </row>
    <row r="876" spans="7:8" x14ac:dyDescent="0.25">
      <c r="G876" s="6" t="str">
        <f t="shared" si="14"/>
        <v/>
      </c>
      <c r="H876" s="16" t="str">
        <f t="shared" si="15"/>
        <v/>
      </c>
    </row>
    <row r="877" spans="7:8" x14ac:dyDescent="0.25">
      <c r="G877" s="6" t="str">
        <f t="shared" si="14"/>
        <v/>
      </c>
      <c r="H877" s="16" t="str">
        <f t="shared" si="15"/>
        <v/>
      </c>
    </row>
    <row r="878" spans="7:8" x14ac:dyDescent="0.25">
      <c r="G878" s="6" t="str">
        <f t="shared" si="14"/>
        <v/>
      </c>
      <c r="H878" s="16" t="str">
        <f t="shared" si="15"/>
        <v/>
      </c>
    </row>
    <row r="879" spans="7:8" x14ac:dyDescent="0.25">
      <c r="G879" s="6" t="str">
        <f t="shared" si="14"/>
        <v/>
      </c>
      <c r="H879" s="16" t="str">
        <f t="shared" si="15"/>
        <v/>
      </c>
    </row>
    <row r="880" spans="7:8" x14ac:dyDescent="0.25">
      <c r="G880" s="6" t="str">
        <f t="shared" si="14"/>
        <v/>
      </c>
      <c r="H880" s="16" t="str">
        <f t="shared" si="15"/>
        <v/>
      </c>
    </row>
    <row r="881" spans="7:8" x14ac:dyDescent="0.25">
      <c r="G881" s="6" t="str">
        <f t="shared" si="14"/>
        <v/>
      </c>
      <c r="H881" s="16" t="str">
        <f t="shared" si="15"/>
        <v/>
      </c>
    </row>
    <row r="882" spans="7:8" x14ac:dyDescent="0.25">
      <c r="G882" s="6" t="str">
        <f t="shared" si="14"/>
        <v/>
      </c>
      <c r="H882" s="16" t="str">
        <f t="shared" si="15"/>
        <v/>
      </c>
    </row>
    <row r="883" spans="7:8" x14ac:dyDescent="0.25">
      <c r="G883" s="6" t="str">
        <f t="shared" si="14"/>
        <v/>
      </c>
      <c r="H883" s="16" t="str">
        <f t="shared" si="15"/>
        <v/>
      </c>
    </row>
    <row r="884" spans="7:8" x14ac:dyDescent="0.25">
      <c r="G884" s="6" t="str">
        <f t="shared" si="14"/>
        <v/>
      </c>
      <c r="H884" s="16" t="str">
        <f t="shared" si="15"/>
        <v/>
      </c>
    </row>
    <row r="885" spans="7:8" x14ac:dyDescent="0.25">
      <c r="G885" s="6" t="str">
        <f t="shared" si="14"/>
        <v/>
      </c>
      <c r="H885" s="16" t="str">
        <f t="shared" si="15"/>
        <v/>
      </c>
    </row>
    <row r="886" spans="7:8" x14ac:dyDescent="0.25">
      <c r="G886" s="6" t="str">
        <f t="shared" si="14"/>
        <v/>
      </c>
      <c r="H886" s="16" t="str">
        <f t="shared" si="15"/>
        <v/>
      </c>
    </row>
    <row r="887" spans="7:8" x14ac:dyDescent="0.25">
      <c r="G887" s="6" t="str">
        <f t="shared" si="14"/>
        <v/>
      </c>
      <c r="H887" s="16" t="str">
        <f t="shared" si="15"/>
        <v/>
      </c>
    </row>
    <row r="888" spans="7:8" x14ac:dyDescent="0.25">
      <c r="G888" s="6" t="str">
        <f t="shared" si="14"/>
        <v/>
      </c>
      <c r="H888" s="16" t="str">
        <f t="shared" si="15"/>
        <v/>
      </c>
    </row>
    <row r="889" spans="7:8" x14ac:dyDescent="0.25">
      <c r="G889" s="6" t="str">
        <f t="shared" si="14"/>
        <v/>
      </c>
      <c r="H889" s="16" t="str">
        <f t="shared" si="15"/>
        <v/>
      </c>
    </row>
    <row r="890" spans="7:8" x14ac:dyDescent="0.25">
      <c r="G890" s="6" t="str">
        <f t="shared" si="14"/>
        <v/>
      </c>
      <c r="H890" s="16" t="str">
        <f t="shared" si="15"/>
        <v/>
      </c>
    </row>
    <row r="891" spans="7:8" x14ac:dyDescent="0.25">
      <c r="G891" s="6" t="str">
        <f t="shared" si="14"/>
        <v/>
      </c>
      <c r="H891" s="16" t="str">
        <f t="shared" si="15"/>
        <v/>
      </c>
    </row>
    <row r="892" spans="7:8" x14ac:dyDescent="0.25">
      <c r="G892" s="6" t="str">
        <f t="shared" si="14"/>
        <v/>
      </c>
      <c r="H892" s="16" t="str">
        <f t="shared" si="15"/>
        <v/>
      </c>
    </row>
    <row r="893" spans="7:8" x14ac:dyDescent="0.25">
      <c r="G893" s="6" t="str">
        <f t="shared" si="14"/>
        <v/>
      </c>
      <c r="H893" s="16" t="str">
        <f t="shared" si="15"/>
        <v/>
      </c>
    </row>
    <row r="894" spans="7:8" x14ac:dyDescent="0.25">
      <c r="G894" s="6" t="str">
        <f t="shared" si="14"/>
        <v/>
      </c>
      <c r="H894" s="16" t="str">
        <f t="shared" si="15"/>
        <v/>
      </c>
    </row>
    <row r="895" spans="7:8" x14ac:dyDescent="0.25">
      <c r="G895" s="6" t="str">
        <f t="shared" si="14"/>
        <v/>
      </c>
      <c r="H895" s="16" t="str">
        <f t="shared" si="15"/>
        <v/>
      </c>
    </row>
    <row r="896" spans="7:8" x14ac:dyDescent="0.25">
      <c r="G896" s="6" t="str">
        <f t="shared" si="14"/>
        <v/>
      </c>
      <c r="H896" s="16" t="str">
        <f t="shared" si="15"/>
        <v/>
      </c>
    </row>
    <row r="897" spans="7:8" x14ac:dyDescent="0.25">
      <c r="G897" s="6" t="str">
        <f t="shared" si="14"/>
        <v/>
      </c>
      <c r="H897" s="16" t="str">
        <f t="shared" si="15"/>
        <v/>
      </c>
    </row>
    <row r="898" spans="7:8" x14ac:dyDescent="0.25">
      <c r="G898" s="6" t="str">
        <f t="shared" si="14"/>
        <v/>
      </c>
      <c r="H898" s="16" t="str">
        <f t="shared" si="15"/>
        <v/>
      </c>
    </row>
    <row r="899" spans="7:8" x14ac:dyDescent="0.25">
      <c r="G899" s="6" t="str">
        <f t="shared" ref="G899:G962" si="16">IF(F899 = "n", "NA", "")</f>
        <v/>
      </c>
      <c r="H899" s="16" t="str">
        <f t="shared" ref="H899:H962" si="17">IF(G899 = "y", "NA", "")</f>
        <v/>
      </c>
    </row>
    <row r="900" spans="7:8" x14ac:dyDescent="0.25">
      <c r="G900" s="6" t="str">
        <f t="shared" si="16"/>
        <v/>
      </c>
      <c r="H900" s="16" t="str">
        <f t="shared" si="17"/>
        <v/>
      </c>
    </row>
    <row r="901" spans="7:8" x14ac:dyDescent="0.25">
      <c r="G901" s="6" t="str">
        <f t="shared" si="16"/>
        <v/>
      </c>
      <c r="H901" s="16" t="str">
        <f t="shared" si="17"/>
        <v/>
      </c>
    </row>
    <row r="902" spans="7:8" x14ac:dyDescent="0.25">
      <c r="G902" s="6" t="str">
        <f t="shared" si="16"/>
        <v/>
      </c>
      <c r="H902" s="16" t="str">
        <f t="shared" si="17"/>
        <v/>
      </c>
    </row>
    <row r="903" spans="7:8" x14ac:dyDescent="0.25">
      <c r="G903" s="6" t="str">
        <f t="shared" si="16"/>
        <v/>
      </c>
      <c r="H903" s="16" t="str">
        <f t="shared" si="17"/>
        <v/>
      </c>
    </row>
    <row r="904" spans="7:8" x14ac:dyDescent="0.25">
      <c r="G904" s="6" t="str">
        <f t="shared" si="16"/>
        <v/>
      </c>
      <c r="H904" s="16" t="str">
        <f t="shared" si="17"/>
        <v/>
      </c>
    </row>
    <row r="905" spans="7:8" x14ac:dyDescent="0.25">
      <c r="G905" s="6" t="str">
        <f t="shared" si="16"/>
        <v/>
      </c>
      <c r="H905" s="16" t="str">
        <f t="shared" si="17"/>
        <v/>
      </c>
    </row>
    <row r="906" spans="7:8" x14ac:dyDescent="0.25">
      <c r="G906" s="6" t="str">
        <f t="shared" si="16"/>
        <v/>
      </c>
      <c r="H906" s="16" t="str">
        <f t="shared" si="17"/>
        <v/>
      </c>
    </row>
    <row r="907" spans="7:8" x14ac:dyDescent="0.25">
      <c r="G907" s="6" t="str">
        <f t="shared" si="16"/>
        <v/>
      </c>
      <c r="H907" s="16" t="str">
        <f t="shared" si="17"/>
        <v/>
      </c>
    </row>
    <row r="908" spans="7:8" x14ac:dyDescent="0.25">
      <c r="G908" s="6" t="str">
        <f t="shared" si="16"/>
        <v/>
      </c>
      <c r="H908" s="16" t="str">
        <f t="shared" si="17"/>
        <v/>
      </c>
    </row>
    <row r="909" spans="7:8" x14ac:dyDescent="0.25">
      <c r="G909" s="6" t="str">
        <f t="shared" si="16"/>
        <v/>
      </c>
      <c r="H909" s="16" t="str">
        <f t="shared" si="17"/>
        <v/>
      </c>
    </row>
    <row r="910" spans="7:8" x14ac:dyDescent="0.25">
      <c r="G910" s="6" t="str">
        <f t="shared" si="16"/>
        <v/>
      </c>
      <c r="H910" s="16" t="str">
        <f t="shared" si="17"/>
        <v/>
      </c>
    </row>
    <row r="911" spans="7:8" x14ac:dyDescent="0.25">
      <c r="G911" s="6" t="str">
        <f t="shared" si="16"/>
        <v/>
      </c>
      <c r="H911" s="16" t="str">
        <f t="shared" si="17"/>
        <v/>
      </c>
    </row>
    <row r="912" spans="7:8" x14ac:dyDescent="0.25">
      <c r="G912" s="6" t="str">
        <f t="shared" si="16"/>
        <v/>
      </c>
      <c r="H912" s="16" t="str">
        <f t="shared" si="17"/>
        <v/>
      </c>
    </row>
    <row r="913" spans="7:8" x14ac:dyDescent="0.25">
      <c r="G913" s="6" t="str">
        <f t="shared" si="16"/>
        <v/>
      </c>
      <c r="H913" s="16" t="str">
        <f t="shared" si="17"/>
        <v/>
      </c>
    </row>
    <row r="914" spans="7:8" x14ac:dyDescent="0.25">
      <c r="G914" s="6" t="str">
        <f t="shared" si="16"/>
        <v/>
      </c>
      <c r="H914" s="16" t="str">
        <f t="shared" si="17"/>
        <v/>
      </c>
    </row>
    <row r="915" spans="7:8" x14ac:dyDescent="0.25">
      <c r="G915" s="6" t="str">
        <f t="shared" si="16"/>
        <v/>
      </c>
      <c r="H915" s="16" t="str">
        <f t="shared" si="17"/>
        <v/>
      </c>
    </row>
    <row r="916" spans="7:8" x14ac:dyDescent="0.25">
      <c r="G916" s="6" t="str">
        <f t="shared" si="16"/>
        <v/>
      </c>
      <c r="H916" s="16" t="str">
        <f t="shared" si="17"/>
        <v/>
      </c>
    </row>
    <row r="917" spans="7:8" x14ac:dyDescent="0.25">
      <c r="G917" s="6" t="str">
        <f t="shared" si="16"/>
        <v/>
      </c>
      <c r="H917" s="16" t="str">
        <f t="shared" si="17"/>
        <v/>
      </c>
    </row>
    <row r="918" spans="7:8" x14ac:dyDescent="0.25">
      <c r="G918" s="6" t="str">
        <f t="shared" si="16"/>
        <v/>
      </c>
      <c r="H918" s="16" t="str">
        <f t="shared" si="17"/>
        <v/>
      </c>
    </row>
    <row r="919" spans="7:8" x14ac:dyDescent="0.25">
      <c r="G919" s="6" t="str">
        <f t="shared" si="16"/>
        <v/>
      </c>
      <c r="H919" s="16" t="str">
        <f t="shared" si="17"/>
        <v/>
      </c>
    </row>
    <row r="920" spans="7:8" x14ac:dyDescent="0.25">
      <c r="G920" s="6" t="str">
        <f t="shared" si="16"/>
        <v/>
      </c>
      <c r="H920" s="16" t="str">
        <f t="shared" si="17"/>
        <v/>
      </c>
    </row>
    <row r="921" spans="7:8" x14ac:dyDescent="0.25">
      <c r="G921" s="6" t="str">
        <f t="shared" si="16"/>
        <v/>
      </c>
      <c r="H921" s="16" t="str">
        <f t="shared" si="17"/>
        <v/>
      </c>
    </row>
    <row r="922" spans="7:8" x14ac:dyDescent="0.25">
      <c r="G922" s="6" t="str">
        <f t="shared" si="16"/>
        <v/>
      </c>
      <c r="H922" s="16" t="str">
        <f t="shared" si="17"/>
        <v/>
      </c>
    </row>
    <row r="923" spans="7:8" x14ac:dyDescent="0.25">
      <c r="G923" s="6" t="str">
        <f t="shared" si="16"/>
        <v/>
      </c>
      <c r="H923" s="16" t="str">
        <f t="shared" si="17"/>
        <v/>
      </c>
    </row>
    <row r="924" spans="7:8" x14ac:dyDescent="0.25">
      <c r="G924" s="6" t="str">
        <f t="shared" si="16"/>
        <v/>
      </c>
      <c r="H924" s="16" t="str">
        <f t="shared" si="17"/>
        <v/>
      </c>
    </row>
    <row r="925" spans="7:8" x14ac:dyDescent="0.25">
      <c r="G925" s="6" t="str">
        <f t="shared" si="16"/>
        <v/>
      </c>
      <c r="H925" s="16" t="str">
        <f t="shared" si="17"/>
        <v/>
      </c>
    </row>
    <row r="926" spans="7:8" x14ac:dyDescent="0.25">
      <c r="G926" s="6" t="str">
        <f t="shared" si="16"/>
        <v/>
      </c>
      <c r="H926" s="16" t="str">
        <f t="shared" si="17"/>
        <v/>
      </c>
    </row>
    <row r="927" spans="7:8" x14ac:dyDescent="0.25">
      <c r="G927" s="6" t="str">
        <f t="shared" si="16"/>
        <v/>
      </c>
      <c r="H927" s="16" t="str">
        <f t="shared" si="17"/>
        <v/>
      </c>
    </row>
    <row r="928" spans="7:8" x14ac:dyDescent="0.25">
      <c r="G928" s="6" t="str">
        <f t="shared" si="16"/>
        <v/>
      </c>
      <c r="H928" s="16" t="str">
        <f t="shared" si="17"/>
        <v/>
      </c>
    </row>
    <row r="929" spans="7:8" x14ac:dyDescent="0.25">
      <c r="G929" s="6" t="str">
        <f t="shared" si="16"/>
        <v/>
      </c>
      <c r="H929" s="16" t="str">
        <f t="shared" si="17"/>
        <v/>
      </c>
    </row>
    <row r="930" spans="7:8" x14ac:dyDescent="0.25">
      <c r="G930" s="6" t="str">
        <f t="shared" si="16"/>
        <v/>
      </c>
      <c r="H930" s="16" t="str">
        <f t="shared" si="17"/>
        <v/>
      </c>
    </row>
    <row r="931" spans="7:8" x14ac:dyDescent="0.25">
      <c r="G931" s="6" t="str">
        <f t="shared" si="16"/>
        <v/>
      </c>
      <c r="H931" s="16" t="str">
        <f t="shared" si="17"/>
        <v/>
      </c>
    </row>
    <row r="932" spans="7:8" x14ac:dyDescent="0.25">
      <c r="G932" s="6" t="str">
        <f t="shared" si="16"/>
        <v/>
      </c>
      <c r="H932" s="16" t="str">
        <f t="shared" si="17"/>
        <v/>
      </c>
    </row>
    <row r="933" spans="7:8" x14ac:dyDescent="0.25">
      <c r="G933" s="6" t="str">
        <f t="shared" si="16"/>
        <v/>
      </c>
      <c r="H933" s="16" t="str">
        <f t="shared" si="17"/>
        <v/>
      </c>
    </row>
    <row r="934" spans="7:8" x14ac:dyDescent="0.25">
      <c r="G934" s="6" t="str">
        <f t="shared" si="16"/>
        <v/>
      </c>
      <c r="H934" s="16" t="str">
        <f t="shared" si="17"/>
        <v/>
      </c>
    </row>
    <row r="935" spans="7:8" x14ac:dyDescent="0.25">
      <c r="G935" s="6" t="str">
        <f t="shared" si="16"/>
        <v/>
      </c>
      <c r="H935" s="16" t="str">
        <f t="shared" si="17"/>
        <v/>
      </c>
    </row>
    <row r="936" spans="7:8" x14ac:dyDescent="0.25">
      <c r="G936" s="6" t="str">
        <f t="shared" si="16"/>
        <v/>
      </c>
      <c r="H936" s="16" t="str">
        <f t="shared" si="17"/>
        <v/>
      </c>
    </row>
    <row r="937" spans="7:8" x14ac:dyDescent="0.25">
      <c r="G937" s="6" t="str">
        <f t="shared" si="16"/>
        <v/>
      </c>
      <c r="H937" s="16" t="str">
        <f t="shared" si="17"/>
        <v/>
      </c>
    </row>
    <row r="938" spans="7:8" x14ac:dyDescent="0.25">
      <c r="G938" s="6" t="str">
        <f t="shared" si="16"/>
        <v/>
      </c>
      <c r="H938" s="16" t="str">
        <f t="shared" si="17"/>
        <v/>
      </c>
    </row>
    <row r="939" spans="7:8" x14ac:dyDescent="0.25">
      <c r="G939" s="6" t="str">
        <f t="shared" si="16"/>
        <v/>
      </c>
      <c r="H939" s="16" t="str">
        <f t="shared" si="17"/>
        <v/>
      </c>
    </row>
    <row r="940" spans="7:8" x14ac:dyDescent="0.25">
      <c r="G940" s="6" t="str">
        <f t="shared" si="16"/>
        <v/>
      </c>
      <c r="H940" s="16" t="str">
        <f t="shared" si="17"/>
        <v/>
      </c>
    </row>
    <row r="941" spans="7:8" x14ac:dyDescent="0.25">
      <c r="G941" s="6" t="str">
        <f t="shared" si="16"/>
        <v/>
      </c>
      <c r="H941" s="16" t="str">
        <f t="shared" si="17"/>
        <v/>
      </c>
    </row>
    <row r="942" spans="7:8" x14ac:dyDescent="0.25">
      <c r="G942" s="6" t="str">
        <f t="shared" si="16"/>
        <v/>
      </c>
      <c r="H942" s="16" t="str">
        <f t="shared" si="17"/>
        <v/>
      </c>
    </row>
    <row r="943" spans="7:8" x14ac:dyDescent="0.25">
      <c r="G943" s="6" t="str">
        <f t="shared" si="16"/>
        <v/>
      </c>
      <c r="H943" s="16" t="str">
        <f t="shared" si="17"/>
        <v/>
      </c>
    </row>
    <row r="944" spans="7:8" x14ac:dyDescent="0.25">
      <c r="G944" s="6" t="str">
        <f t="shared" si="16"/>
        <v/>
      </c>
      <c r="H944" s="16" t="str">
        <f t="shared" si="17"/>
        <v/>
      </c>
    </row>
    <row r="945" spans="7:8" x14ac:dyDescent="0.25">
      <c r="G945" s="6" t="str">
        <f t="shared" si="16"/>
        <v/>
      </c>
      <c r="H945" s="16" t="str">
        <f t="shared" si="17"/>
        <v/>
      </c>
    </row>
    <row r="946" spans="7:8" x14ac:dyDescent="0.25">
      <c r="G946" s="6" t="str">
        <f t="shared" si="16"/>
        <v/>
      </c>
      <c r="H946" s="16" t="str">
        <f t="shared" si="17"/>
        <v/>
      </c>
    </row>
    <row r="947" spans="7:8" x14ac:dyDescent="0.25">
      <c r="G947" s="6" t="str">
        <f t="shared" si="16"/>
        <v/>
      </c>
      <c r="H947" s="16" t="str">
        <f t="shared" si="17"/>
        <v/>
      </c>
    </row>
    <row r="948" spans="7:8" x14ac:dyDescent="0.25">
      <c r="G948" s="6" t="str">
        <f t="shared" si="16"/>
        <v/>
      </c>
      <c r="H948" s="16" t="str">
        <f t="shared" si="17"/>
        <v/>
      </c>
    </row>
    <row r="949" spans="7:8" x14ac:dyDescent="0.25">
      <c r="G949" s="6" t="str">
        <f t="shared" si="16"/>
        <v/>
      </c>
      <c r="H949" s="16" t="str">
        <f t="shared" si="17"/>
        <v/>
      </c>
    </row>
    <row r="950" spans="7:8" x14ac:dyDescent="0.25">
      <c r="G950" s="6" t="str">
        <f t="shared" si="16"/>
        <v/>
      </c>
      <c r="H950" s="16" t="str">
        <f t="shared" si="17"/>
        <v/>
      </c>
    </row>
    <row r="951" spans="7:8" x14ac:dyDescent="0.25">
      <c r="G951" s="6" t="str">
        <f t="shared" si="16"/>
        <v/>
      </c>
      <c r="H951" s="16" t="str">
        <f t="shared" si="17"/>
        <v/>
      </c>
    </row>
    <row r="952" spans="7:8" x14ac:dyDescent="0.25">
      <c r="G952" s="6" t="str">
        <f t="shared" si="16"/>
        <v/>
      </c>
      <c r="H952" s="16" t="str">
        <f t="shared" si="17"/>
        <v/>
      </c>
    </row>
    <row r="953" spans="7:8" x14ac:dyDescent="0.25">
      <c r="G953" s="6" t="str">
        <f t="shared" si="16"/>
        <v/>
      </c>
      <c r="H953" s="16" t="str">
        <f t="shared" si="17"/>
        <v/>
      </c>
    </row>
    <row r="954" spans="7:8" x14ac:dyDescent="0.25">
      <c r="G954" s="6" t="str">
        <f t="shared" si="16"/>
        <v/>
      </c>
      <c r="H954" s="16" t="str">
        <f t="shared" si="17"/>
        <v/>
      </c>
    </row>
    <row r="955" spans="7:8" x14ac:dyDescent="0.25">
      <c r="G955" s="6" t="str">
        <f t="shared" si="16"/>
        <v/>
      </c>
      <c r="H955" s="16" t="str">
        <f t="shared" si="17"/>
        <v/>
      </c>
    </row>
    <row r="956" spans="7:8" x14ac:dyDescent="0.25">
      <c r="G956" s="6" t="str">
        <f t="shared" si="16"/>
        <v/>
      </c>
      <c r="H956" s="16" t="str">
        <f t="shared" si="17"/>
        <v/>
      </c>
    </row>
    <row r="957" spans="7:8" x14ac:dyDescent="0.25">
      <c r="G957" s="6" t="str">
        <f t="shared" si="16"/>
        <v/>
      </c>
      <c r="H957" s="16" t="str">
        <f t="shared" si="17"/>
        <v/>
      </c>
    </row>
    <row r="958" spans="7:8" x14ac:dyDescent="0.25">
      <c r="G958" s="6" t="str">
        <f t="shared" si="16"/>
        <v/>
      </c>
      <c r="H958" s="16" t="str">
        <f t="shared" si="17"/>
        <v/>
      </c>
    </row>
    <row r="959" spans="7:8" x14ac:dyDescent="0.25">
      <c r="G959" s="6" t="str">
        <f t="shared" si="16"/>
        <v/>
      </c>
      <c r="H959" s="16" t="str">
        <f t="shared" si="17"/>
        <v/>
      </c>
    </row>
    <row r="960" spans="7:8" x14ac:dyDescent="0.25">
      <c r="G960" s="6" t="str">
        <f t="shared" si="16"/>
        <v/>
      </c>
      <c r="H960" s="16" t="str">
        <f t="shared" si="17"/>
        <v/>
      </c>
    </row>
    <row r="961" spans="7:8" x14ac:dyDescent="0.25">
      <c r="G961" s="6" t="str">
        <f t="shared" si="16"/>
        <v/>
      </c>
      <c r="H961" s="16" t="str">
        <f t="shared" si="17"/>
        <v/>
      </c>
    </row>
    <row r="962" spans="7:8" x14ac:dyDescent="0.25">
      <c r="G962" s="6" t="str">
        <f t="shared" si="16"/>
        <v/>
      </c>
      <c r="H962" s="16" t="str">
        <f t="shared" si="17"/>
        <v/>
      </c>
    </row>
    <row r="963" spans="7:8" x14ac:dyDescent="0.25">
      <c r="G963" s="6" t="str">
        <f t="shared" ref="G963:G1000" si="18">IF(F963 = "n", "NA", "")</f>
        <v/>
      </c>
      <c r="H963" s="16" t="str">
        <f t="shared" ref="H963:H1000" si="19">IF(G963 = "y", "NA", "")</f>
        <v/>
      </c>
    </row>
    <row r="964" spans="7:8" x14ac:dyDescent="0.25">
      <c r="G964" s="6" t="str">
        <f t="shared" si="18"/>
        <v/>
      </c>
      <c r="H964" s="16" t="str">
        <f t="shared" si="19"/>
        <v/>
      </c>
    </row>
    <row r="965" spans="7:8" x14ac:dyDescent="0.25">
      <c r="G965" s="6" t="str">
        <f t="shared" si="18"/>
        <v/>
      </c>
      <c r="H965" s="16" t="str">
        <f t="shared" si="19"/>
        <v/>
      </c>
    </row>
    <row r="966" spans="7:8" x14ac:dyDescent="0.25">
      <c r="G966" s="6" t="str">
        <f t="shared" si="18"/>
        <v/>
      </c>
      <c r="H966" s="16" t="str">
        <f t="shared" si="19"/>
        <v/>
      </c>
    </row>
    <row r="967" spans="7:8" x14ac:dyDescent="0.25">
      <c r="G967" s="6" t="str">
        <f t="shared" si="18"/>
        <v/>
      </c>
      <c r="H967" s="16" t="str">
        <f t="shared" si="19"/>
        <v/>
      </c>
    </row>
    <row r="968" spans="7:8" x14ac:dyDescent="0.25">
      <c r="G968" s="6" t="str">
        <f t="shared" si="18"/>
        <v/>
      </c>
      <c r="H968" s="16" t="str">
        <f t="shared" si="19"/>
        <v/>
      </c>
    </row>
    <row r="969" spans="7:8" x14ac:dyDescent="0.25">
      <c r="G969" s="6" t="str">
        <f t="shared" si="18"/>
        <v/>
      </c>
      <c r="H969" s="16" t="str">
        <f t="shared" si="19"/>
        <v/>
      </c>
    </row>
    <row r="970" spans="7:8" x14ac:dyDescent="0.25">
      <c r="G970" s="6" t="str">
        <f t="shared" si="18"/>
        <v/>
      </c>
      <c r="H970" s="16" t="str">
        <f t="shared" si="19"/>
        <v/>
      </c>
    </row>
    <row r="971" spans="7:8" x14ac:dyDescent="0.25">
      <c r="G971" s="6" t="str">
        <f t="shared" si="18"/>
        <v/>
      </c>
      <c r="H971" s="16" t="str">
        <f t="shared" si="19"/>
        <v/>
      </c>
    </row>
    <row r="972" spans="7:8" x14ac:dyDescent="0.25">
      <c r="G972" s="6" t="str">
        <f t="shared" si="18"/>
        <v/>
      </c>
      <c r="H972" s="16" t="str">
        <f t="shared" si="19"/>
        <v/>
      </c>
    </row>
    <row r="973" spans="7:8" x14ac:dyDescent="0.25">
      <c r="G973" s="6" t="str">
        <f t="shared" si="18"/>
        <v/>
      </c>
      <c r="H973" s="16" t="str">
        <f t="shared" si="19"/>
        <v/>
      </c>
    </row>
    <row r="974" spans="7:8" x14ac:dyDescent="0.25">
      <c r="G974" s="6" t="str">
        <f t="shared" si="18"/>
        <v/>
      </c>
      <c r="H974" s="16" t="str">
        <f t="shared" si="19"/>
        <v/>
      </c>
    </row>
    <row r="975" spans="7:8" x14ac:dyDescent="0.25">
      <c r="G975" s="6" t="str">
        <f t="shared" si="18"/>
        <v/>
      </c>
      <c r="H975" s="16" t="str">
        <f t="shared" si="19"/>
        <v/>
      </c>
    </row>
    <row r="976" spans="7:8" x14ac:dyDescent="0.25">
      <c r="G976" s="6" t="str">
        <f t="shared" si="18"/>
        <v/>
      </c>
      <c r="H976" s="16" t="str">
        <f t="shared" si="19"/>
        <v/>
      </c>
    </row>
    <row r="977" spans="7:8" x14ac:dyDescent="0.25">
      <c r="G977" s="6" t="str">
        <f t="shared" si="18"/>
        <v/>
      </c>
      <c r="H977" s="16" t="str">
        <f t="shared" si="19"/>
        <v/>
      </c>
    </row>
    <row r="978" spans="7:8" x14ac:dyDescent="0.25">
      <c r="G978" s="6" t="str">
        <f t="shared" si="18"/>
        <v/>
      </c>
      <c r="H978" s="16" t="str">
        <f t="shared" si="19"/>
        <v/>
      </c>
    </row>
    <row r="979" spans="7:8" x14ac:dyDescent="0.25">
      <c r="G979" s="6" t="str">
        <f t="shared" si="18"/>
        <v/>
      </c>
      <c r="H979" s="16" t="str">
        <f t="shared" si="19"/>
        <v/>
      </c>
    </row>
    <row r="980" spans="7:8" x14ac:dyDescent="0.25">
      <c r="G980" s="6" t="str">
        <f t="shared" si="18"/>
        <v/>
      </c>
      <c r="H980" s="16" t="str">
        <f t="shared" si="19"/>
        <v/>
      </c>
    </row>
    <row r="981" spans="7:8" x14ac:dyDescent="0.25">
      <c r="G981" s="6" t="str">
        <f t="shared" si="18"/>
        <v/>
      </c>
      <c r="H981" s="16" t="str">
        <f t="shared" si="19"/>
        <v/>
      </c>
    </row>
    <row r="982" spans="7:8" x14ac:dyDescent="0.25">
      <c r="G982" s="6" t="str">
        <f t="shared" si="18"/>
        <v/>
      </c>
      <c r="H982" s="16" t="str">
        <f t="shared" si="19"/>
        <v/>
      </c>
    </row>
    <row r="983" spans="7:8" x14ac:dyDescent="0.25">
      <c r="G983" s="6" t="str">
        <f t="shared" si="18"/>
        <v/>
      </c>
      <c r="H983" s="16" t="str">
        <f t="shared" si="19"/>
        <v/>
      </c>
    </row>
    <row r="984" spans="7:8" x14ac:dyDescent="0.25">
      <c r="G984" s="6" t="str">
        <f t="shared" si="18"/>
        <v/>
      </c>
      <c r="H984" s="16" t="str">
        <f t="shared" si="19"/>
        <v/>
      </c>
    </row>
    <row r="985" spans="7:8" x14ac:dyDescent="0.25">
      <c r="G985" s="6" t="str">
        <f t="shared" si="18"/>
        <v/>
      </c>
      <c r="H985" s="16" t="str">
        <f t="shared" si="19"/>
        <v/>
      </c>
    </row>
    <row r="986" spans="7:8" x14ac:dyDescent="0.25">
      <c r="G986" s="6" t="str">
        <f t="shared" si="18"/>
        <v/>
      </c>
      <c r="H986" s="16" t="str">
        <f t="shared" si="19"/>
        <v/>
      </c>
    </row>
    <row r="987" spans="7:8" x14ac:dyDescent="0.25">
      <c r="G987" s="6" t="str">
        <f t="shared" si="18"/>
        <v/>
      </c>
      <c r="H987" s="16" t="str">
        <f t="shared" si="19"/>
        <v/>
      </c>
    </row>
    <row r="988" spans="7:8" x14ac:dyDescent="0.25">
      <c r="G988" s="6" t="str">
        <f t="shared" si="18"/>
        <v/>
      </c>
      <c r="H988" s="16" t="str">
        <f t="shared" si="19"/>
        <v/>
      </c>
    </row>
    <row r="989" spans="7:8" x14ac:dyDescent="0.25">
      <c r="G989" s="6" t="str">
        <f t="shared" si="18"/>
        <v/>
      </c>
      <c r="H989" s="16" t="str">
        <f t="shared" si="19"/>
        <v/>
      </c>
    </row>
    <row r="990" spans="7:8" x14ac:dyDescent="0.25">
      <c r="G990" s="6" t="str">
        <f t="shared" si="18"/>
        <v/>
      </c>
      <c r="H990" s="16" t="str">
        <f t="shared" si="19"/>
        <v/>
      </c>
    </row>
    <row r="991" spans="7:8" x14ac:dyDescent="0.25">
      <c r="G991" s="6" t="str">
        <f t="shared" si="18"/>
        <v/>
      </c>
      <c r="H991" s="16" t="str">
        <f t="shared" si="19"/>
        <v/>
      </c>
    </row>
    <row r="992" spans="7:8" x14ac:dyDescent="0.25">
      <c r="G992" s="6" t="str">
        <f t="shared" si="18"/>
        <v/>
      </c>
      <c r="H992" s="16" t="str">
        <f t="shared" si="19"/>
        <v/>
      </c>
    </row>
    <row r="993" spans="7:8" x14ac:dyDescent="0.25">
      <c r="G993" s="6" t="str">
        <f t="shared" si="18"/>
        <v/>
      </c>
      <c r="H993" s="16" t="str">
        <f t="shared" si="19"/>
        <v/>
      </c>
    </row>
    <row r="994" spans="7:8" x14ac:dyDescent="0.25">
      <c r="G994" s="6" t="str">
        <f t="shared" si="18"/>
        <v/>
      </c>
      <c r="H994" s="16" t="str">
        <f t="shared" si="19"/>
        <v/>
      </c>
    </row>
    <row r="995" spans="7:8" x14ac:dyDescent="0.25">
      <c r="G995" s="6" t="str">
        <f t="shared" si="18"/>
        <v/>
      </c>
      <c r="H995" s="16" t="str">
        <f t="shared" si="19"/>
        <v/>
      </c>
    </row>
    <row r="996" spans="7:8" x14ac:dyDescent="0.25">
      <c r="G996" s="6" t="str">
        <f t="shared" si="18"/>
        <v/>
      </c>
      <c r="H996" s="16" t="str">
        <f t="shared" si="19"/>
        <v/>
      </c>
    </row>
    <row r="997" spans="7:8" x14ac:dyDescent="0.25">
      <c r="G997" s="6" t="str">
        <f t="shared" si="18"/>
        <v/>
      </c>
      <c r="H997" s="16" t="str">
        <f t="shared" si="19"/>
        <v/>
      </c>
    </row>
    <row r="998" spans="7:8" x14ac:dyDescent="0.25">
      <c r="G998" s="6" t="str">
        <f t="shared" si="18"/>
        <v/>
      </c>
      <c r="H998" s="16" t="str">
        <f t="shared" si="19"/>
        <v/>
      </c>
    </row>
    <row r="999" spans="7:8" x14ac:dyDescent="0.25">
      <c r="G999" s="6" t="str">
        <f t="shared" si="18"/>
        <v/>
      </c>
      <c r="H999" s="16" t="str">
        <f t="shared" si="19"/>
        <v/>
      </c>
    </row>
    <row r="1000" spans="7:8" x14ac:dyDescent="0.25">
      <c r="G1000" s="6" t="str">
        <f t="shared" si="18"/>
        <v/>
      </c>
      <c r="H1000" s="16" t="str">
        <f t="shared" si="19"/>
        <v/>
      </c>
    </row>
    <row r="1048573" spans="2:2" x14ac:dyDescent="0.25">
      <c r="B1048573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2023-03-07T01:03:45Z</dcterms:modified>
</cp:coreProperties>
</file>